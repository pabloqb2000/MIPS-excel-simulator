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qb\OneDrive\Documentos\proyectos_personales\MIPS-excel-simulator\"/>
    </mc:Choice>
  </mc:AlternateContent>
  <xr:revisionPtr revIDLastSave="0" documentId="13_ncr:1_{F34619FA-FAD9-4B87-B220-12CE724654B0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ocs" sheetId="1" r:id="rId1"/>
    <sheet name="PC" sheetId="4" r:id="rId2"/>
    <sheet name="InstructionMemory" sheetId="3" r:id="rId3"/>
    <sheet name="RegisterBank" sheetId="5" r:id="rId4"/>
    <sheet name="ALU" sheetId="7" r:id="rId5"/>
    <sheet name="ControlUnit" sheetId="6" r:id="rId6"/>
    <sheet name="DataMemory" sheetId="8" r:id="rId7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8" l="1"/>
  <c r="E7" i="5"/>
  <c r="E2" i="7"/>
  <c r="E3" i="7"/>
  <c r="E4" i="7"/>
  <c r="E6" i="7"/>
  <c r="E7" i="7"/>
  <c r="E10" i="7"/>
  <c r="E11" i="7"/>
  <c r="E12" i="7"/>
  <c r="E13" i="7"/>
  <c r="E14" i="7"/>
  <c r="E15" i="7"/>
  <c r="E16" i="7"/>
  <c r="E17" i="7"/>
  <c r="D2" i="6"/>
  <c r="D3" i="6"/>
  <c r="D5" i="6"/>
  <c r="D6" i="6"/>
  <c r="D7" i="6"/>
  <c r="D8" i="6"/>
  <c r="D9" i="6"/>
  <c r="D10" i="6"/>
  <c r="D11" i="6"/>
  <c r="D12" i="6"/>
  <c r="D13" i="6"/>
  <c r="D14" i="6"/>
  <c r="D15" i="6"/>
  <c r="D2" i="8"/>
  <c r="D3" i="8"/>
  <c r="D4" i="8"/>
  <c r="D5" i="8"/>
  <c r="D8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F2" i="3"/>
  <c r="F4" i="3"/>
  <c r="F5" i="3"/>
  <c r="F6" i="3"/>
  <c r="F7" i="3"/>
  <c r="F8" i="3"/>
  <c r="F9" i="3"/>
  <c r="F10" i="3"/>
  <c r="F11" i="3"/>
  <c r="F12" i="3"/>
  <c r="D2" i="4"/>
  <c r="D3" i="4"/>
  <c r="G3" i="4"/>
  <c r="D4" i="4"/>
  <c r="D5" i="4"/>
  <c r="D6" i="4"/>
  <c r="D7" i="4"/>
  <c r="D8" i="4"/>
  <c r="D11" i="4"/>
  <c r="E2" i="5"/>
  <c r="E3" i="5"/>
  <c r="E4" i="5"/>
  <c r="E5" i="5"/>
  <c r="E6" i="5"/>
  <c r="E9" i="5"/>
  <c r="E10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</calcChain>
</file>

<file path=xl/sharedStrings.xml><?xml version="1.0" encoding="utf-8"?>
<sst xmlns="http://schemas.openxmlformats.org/spreadsheetml/2006/main" count="135" uniqueCount="88">
  <si>
    <t>Instruction</t>
  </si>
  <si>
    <t>Jump</t>
  </si>
  <si>
    <t>Branch</t>
  </si>
  <si>
    <t>ALUControl</t>
  </si>
  <si>
    <t>Address</t>
  </si>
  <si>
    <t>lw</t>
  </si>
  <si>
    <t>sw</t>
  </si>
  <si>
    <t>beq</t>
  </si>
  <si>
    <t>add</t>
  </si>
  <si>
    <t>sub</t>
  </si>
  <si>
    <t>mult</t>
  </si>
  <si>
    <t>div</t>
  </si>
  <si>
    <t>and</t>
  </si>
  <si>
    <t>or</t>
  </si>
  <si>
    <t>slt</t>
  </si>
  <si>
    <t>R-Type</t>
  </si>
  <si>
    <t>IO</t>
  </si>
  <si>
    <t>j</t>
  </si>
  <si>
    <t>Opcode</t>
  </si>
  <si>
    <t>rs</t>
  </si>
  <si>
    <t>rt</t>
  </si>
  <si>
    <t>rd</t>
  </si>
  <si>
    <t>funct</t>
  </si>
  <si>
    <t>shamt</t>
  </si>
  <si>
    <t>AluOp</t>
  </si>
  <si>
    <t>mod</t>
  </si>
  <si>
    <t>addi</t>
  </si>
  <si>
    <t>subi</t>
  </si>
  <si>
    <t>multi</t>
  </si>
  <si>
    <t>divi</t>
  </si>
  <si>
    <t>modi</t>
  </si>
  <si>
    <t>andi</t>
  </si>
  <si>
    <t>ori</t>
  </si>
  <si>
    <t>slti</t>
  </si>
  <si>
    <t>I-Type</t>
  </si>
  <si>
    <t>Inmediate</t>
  </si>
  <si>
    <t>Inputs</t>
  </si>
  <si>
    <t>Outputs</t>
  </si>
  <si>
    <t>Read Address</t>
  </si>
  <si>
    <t>Instructions</t>
  </si>
  <si>
    <t>PC</t>
  </si>
  <si>
    <t>Clock</t>
  </si>
  <si>
    <t>Instruction [25-0]</t>
  </si>
  <si>
    <t>Instruction [31-26]</t>
  </si>
  <si>
    <t>Instruction [25-21]</t>
  </si>
  <si>
    <t>Instruction [20-16]</t>
  </si>
  <si>
    <t>Instruction [15-11]</t>
  </si>
  <si>
    <t>Instruction [15-0]</t>
  </si>
  <si>
    <t>Instruction [5-0]</t>
  </si>
  <si>
    <t>RegDst</t>
  </si>
  <si>
    <t>MemRead</t>
  </si>
  <si>
    <t>MemToReg</t>
  </si>
  <si>
    <t>ALUOp</t>
  </si>
  <si>
    <t>MemWrite</t>
  </si>
  <si>
    <t>ALUSrc</t>
  </si>
  <si>
    <t>RegWrite</t>
  </si>
  <si>
    <t>Read register 1</t>
  </si>
  <si>
    <t>Read register 2</t>
  </si>
  <si>
    <t>Write Register</t>
  </si>
  <si>
    <t xml:space="preserve">Write Data </t>
  </si>
  <si>
    <t>Read data 1</t>
  </si>
  <si>
    <t>Read data 2</t>
  </si>
  <si>
    <t>Data 1</t>
  </si>
  <si>
    <t>Data 2</t>
  </si>
  <si>
    <t>ALU Control</t>
  </si>
  <si>
    <t>Zero</t>
  </si>
  <si>
    <t>Result</t>
  </si>
  <si>
    <t>Funct</t>
  </si>
  <si>
    <t>Input</t>
  </si>
  <si>
    <t>Adress</t>
  </si>
  <si>
    <t>Write data</t>
  </si>
  <si>
    <t>Output</t>
  </si>
  <si>
    <t>Read data</t>
  </si>
  <si>
    <t>Load Flag</t>
  </si>
  <si>
    <t>Load</t>
  </si>
  <si>
    <t>Reset flag</t>
  </si>
  <si>
    <t>MacroPC</t>
  </si>
  <si>
    <t>ZeroFlag</t>
  </si>
  <si>
    <t>PCUpdate</t>
  </si>
  <si>
    <t>Data</t>
  </si>
  <si>
    <t>Memory contents</t>
  </si>
  <si>
    <t>ALUOp LUT</t>
  </si>
  <si>
    <t>Operations</t>
  </si>
  <si>
    <t>Register content</t>
  </si>
  <si>
    <t>jr</t>
  </si>
  <si>
    <t>Empty</t>
  </si>
  <si>
    <t>Jump Reg</t>
  </si>
  <si>
    <t>Read Reg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</si>
</sst>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5" fillId="0" borderId="0" xfId="0" applyFont="1"/>
    <xf numFmtId="0" fontId="0" fillId="5" borderId="0" xfId="0" applyFill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7" borderId="4" xfId="0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8" borderId="11" xfId="0" applyFill="1" applyBorder="1" applyAlignment="1">
      <alignment horizontal="right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3" xfId="0" applyBorder="1"/>
    <xf numFmtId="0" fontId="1" fillId="0" borderId="5" xfId="0" applyFont="1" applyBorder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8" borderId="2" xfId="0" applyFont="1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4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6" fillId="8" borderId="0" xfId="0" applyFont="1" applyFill="1"/>
    <xf numFmtId="0" fontId="0" fillId="0" borderId="0" xfId="0" applyAlignment="1">
      <alignment horizontal="center"/>
    </xf>
    <xf numFmtId="0" fontId="2" fillId="0" borderId="9" xfId="0" applyFont="1" applyBorder="1"/>
    <xf numFmtId="0" fontId="0" fillId="2" borderId="3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/>
    <xf numFmtId="0" fontId="0" fillId="0" borderId="8" xfId="0" applyBorder="1" applyAlignment="1">
      <alignment horizontal="right"/>
    </xf>
    <xf numFmtId="0" fontId="11" fillId="9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6" borderId="6" xfId="0" applyFill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0" fillId="5" borderId="4" xfId="0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3" fillId="5" borderId="14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0" borderId="0" xfId="0"/>
    <xf numFmtId="0" fontId="0" fillId="5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0" borderId="7" xfId="0" applyBorder="1"/>
    <xf numFmtId="0" fontId="4" fillId="4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9" xfId="0" applyBorder="1"/>
    <xf numFmtId="0" fontId="10" fillId="9" borderId="13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5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7" borderId="4" xfId="0" applyFill="1" applyBorder="1" applyAlignment="1">
      <alignment horizontal="right"/>
    </xf>
    <xf numFmtId="0" fontId="9" fillId="9" borderId="13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5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401955</xdr:colOff>
      <xdr:row>4</xdr:row>
      <xdr:rowOff>142875</xdr:rowOff>
    </xdr:from>
    <xdr:to>
      <xdr:col>56</xdr:col>
      <xdr:colOff>440055</xdr:colOff>
      <xdr:row>37</xdr:row>
      <xdr:rowOff>19050</xdr:rowOff>
    </xdr:to>
    <xdr:pic>
      <xdr:nvPicPr>
        <xdr:cNvPr id="2" name="Imagen 1" descr="Caminho de dados da arquitetura MIPS Monociclo. | Download Scientific  Diagram">
          <a:extLst>
            <a:ext uri="{FF2B5EF4-FFF2-40B4-BE49-F238E27FC236}">
              <a16:creationId xmlns:a16="http://schemas.microsoft.com/office/drawing/2014/main" id="{FAB541B3-811B-D6B8-6915-77C71D401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79480" y="714375"/>
          <a:ext cx="7120890" cy="613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</sheetPr>
  <dimension ref="B2:AR35"/>
  <sheetViews>
    <sheetView topLeftCell="A10" workbookViewId="0">
      <selection activeCell="AF43" sqref="AF43"/>
    </sheetView>
  </sheetViews>
  <sheetFormatPr baseColWidth="10" defaultColWidth="8.85546875" defaultRowHeight="15" x14ac:dyDescent="0.25"/>
  <cols>
    <col min="1" max="1" width="8.85546875" style="1"/>
    <col min="2" max="2" width="16.140625" style="1" customWidth="1"/>
    <col min="3" max="3" width="8.85546875" style="1" customWidth="1"/>
    <col min="4" max="35" width="2.7109375" style="1" customWidth="1"/>
    <col min="36" max="36" width="7.140625" style="1" customWidth="1"/>
    <col min="37" max="38" width="2.7109375" style="1" customWidth="1"/>
    <col min="39" max="39" width="7.140625" style="1" customWidth="1"/>
    <col min="40" max="43" width="2.7109375" style="1" customWidth="1"/>
    <col min="44" max="16384" width="8.85546875" style="1"/>
  </cols>
  <sheetData>
    <row r="2" spans="2:43" x14ac:dyDescent="0.25">
      <c r="C2" s="53"/>
      <c r="D2" s="69" t="s">
        <v>0</v>
      </c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70"/>
      <c r="AK2" s="68" t="s">
        <v>24</v>
      </c>
      <c r="AL2" s="70"/>
      <c r="AN2" s="68" t="s">
        <v>3</v>
      </c>
      <c r="AO2" s="69"/>
      <c r="AP2" s="69"/>
      <c r="AQ2" s="70"/>
    </row>
    <row r="3" spans="2:43" x14ac:dyDescent="0.25">
      <c r="C3" s="53"/>
      <c r="D3" s="60">
        <v>31</v>
      </c>
      <c r="E3" s="61">
        <v>30</v>
      </c>
      <c r="F3" s="61">
        <v>29</v>
      </c>
      <c r="G3" s="61">
        <v>28</v>
      </c>
      <c r="H3" s="61">
        <v>27</v>
      </c>
      <c r="I3" s="62">
        <v>26</v>
      </c>
      <c r="J3" s="60">
        <v>25</v>
      </c>
      <c r="K3" s="61">
        <v>24</v>
      </c>
      <c r="L3" s="61">
        <v>23</v>
      </c>
      <c r="M3" s="61">
        <v>22</v>
      </c>
      <c r="N3" s="62">
        <v>21</v>
      </c>
      <c r="O3" s="60">
        <v>20</v>
      </c>
      <c r="P3" s="61">
        <v>19</v>
      </c>
      <c r="Q3" s="61">
        <v>18</v>
      </c>
      <c r="R3" s="61">
        <v>17</v>
      </c>
      <c r="S3" s="62">
        <v>16</v>
      </c>
      <c r="T3" s="61">
        <v>15</v>
      </c>
      <c r="U3" s="61">
        <v>14</v>
      </c>
      <c r="V3" s="61">
        <v>13</v>
      </c>
      <c r="W3" s="61">
        <v>12</v>
      </c>
      <c r="X3" s="61">
        <v>11</v>
      </c>
      <c r="Y3" s="60">
        <v>10</v>
      </c>
      <c r="Z3" s="61">
        <v>9</v>
      </c>
      <c r="AA3" s="61">
        <v>8</v>
      </c>
      <c r="AB3" s="61">
        <v>7</v>
      </c>
      <c r="AC3" s="61">
        <v>6</v>
      </c>
      <c r="AD3" s="60">
        <v>5</v>
      </c>
      <c r="AE3" s="61">
        <v>4</v>
      </c>
      <c r="AF3" s="61">
        <v>3</v>
      </c>
      <c r="AG3" s="61">
        <v>2</v>
      </c>
      <c r="AH3" s="61">
        <v>1</v>
      </c>
      <c r="AI3" s="62">
        <v>0</v>
      </c>
      <c r="AK3" s="60">
        <v>1</v>
      </c>
      <c r="AL3" s="62">
        <v>0</v>
      </c>
      <c r="AN3" s="30">
        <v>3</v>
      </c>
      <c r="AO3" s="54">
        <v>2</v>
      </c>
      <c r="AP3" s="54">
        <v>1</v>
      </c>
      <c r="AQ3" s="55">
        <v>0</v>
      </c>
    </row>
    <row r="4" spans="2:43" x14ac:dyDescent="0.25">
      <c r="D4" s="54"/>
      <c r="J4" s="54"/>
      <c r="O4" s="54"/>
      <c r="T4" s="54"/>
      <c r="X4" s="54"/>
      <c r="Y4" s="54"/>
      <c r="AD4" s="54"/>
      <c r="AP4" s="52"/>
    </row>
    <row r="5" spans="2:43" x14ac:dyDescent="0.25">
      <c r="D5" s="65" t="s">
        <v>18</v>
      </c>
      <c r="E5" s="74"/>
      <c r="F5" s="74"/>
      <c r="G5" s="74"/>
      <c r="H5" s="74"/>
      <c r="I5" s="75"/>
      <c r="J5" s="65" t="s">
        <v>19</v>
      </c>
      <c r="K5" s="74"/>
      <c r="L5" s="74"/>
      <c r="M5" s="74"/>
      <c r="N5" s="75"/>
      <c r="O5" s="68" t="s">
        <v>20</v>
      </c>
      <c r="P5" s="69"/>
      <c r="Q5" s="69"/>
      <c r="R5" s="69"/>
      <c r="S5" s="70"/>
      <c r="T5" s="69" t="s">
        <v>21</v>
      </c>
      <c r="U5" s="69"/>
      <c r="V5" s="69"/>
      <c r="W5" s="69"/>
      <c r="X5" s="70"/>
      <c r="Y5" s="68" t="s">
        <v>23</v>
      </c>
      <c r="Z5" s="69"/>
      <c r="AA5" s="69"/>
      <c r="AB5" s="69"/>
      <c r="AC5" s="70"/>
      <c r="AD5" s="68" t="s">
        <v>22</v>
      </c>
      <c r="AE5" s="69"/>
      <c r="AF5" s="69"/>
      <c r="AG5" s="69"/>
      <c r="AH5" s="69"/>
      <c r="AI5" s="70"/>
      <c r="AL5" s="2"/>
      <c r="AN5" s="63"/>
      <c r="AO5" s="63"/>
      <c r="AP5" s="63"/>
      <c r="AQ5" s="63"/>
    </row>
    <row r="6" spans="2:43" x14ac:dyDescent="0.25">
      <c r="B6" s="65" t="s">
        <v>15</v>
      </c>
      <c r="C6" s="51" t="s">
        <v>8</v>
      </c>
      <c r="D6" s="65">
        <v>0</v>
      </c>
      <c r="E6" s="74"/>
      <c r="F6" s="74"/>
      <c r="G6" s="74"/>
      <c r="H6" s="74"/>
      <c r="I6" s="75"/>
      <c r="J6" s="65"/>
      <c r="K6" s="74"/>
      <c r="L6" s="74"/>
      <c r="M6" s="74"/>
      <c r="N6" s="75"/>
      <c r="O6" s="65"/>
      <c r="P6" s="74"/>
      <c r="Q6" s="74"/>
      <c r="R6" s="74"/>
      <c r="S6" s="75"/>
      <c r="T6" s="65"/>
      <c r="U6" s="74"/>
      <c r="V6" s="74"/>
      <c r="W6" s="74"/>
      <c r="X6" s="75"/>
      <c r="Y6" s="65"/>
      <c r="Z6" s="74"/>
      <c r="AA6" s="74"/>
      <c r="AB6" s="74"/>
      <c r="AC6" s="75"/>
      <c r="AD6" s="65">
        <v>0</v>
      </c>
      <c r="AE6" s="74"/>
      <c r="AF6" s="74"/>
      <c r="AG6" s="74"/>
      <c r="AH6" s="74"/>
      <c r="AI6" s="75"/>
      <c r="AK6" s="65">
        <v>2</v>
      </c>
      <c r="AL6" s="75"/>
      <c r="AN6" s="65">
        <v>0</v>
      </c>
      <c r="AO6" s="74"/>
      <c r="AP6" s="74"/>
      <c r="AQ6" s="75"/>
    </row>
    <row r="7" spans="2:43" x14ac:dyDescent="0.25">
      <c r="B7" s="66"/>
      <c r="C7" s="29" t="s">
        <v>9</v>
      </c>
      <c r="D7" s="66"/>
      <c r="E7" s="67"/>
      <c r="F7" s="67"/>
      <c r="G7" s="67"/>
      <c r="H7" s="67"/>
      <c r="I7" s="76"/>
      <c r="J7" s="66"/>
      <c r="K7" s="67"/>
      <c r="L7" s="67"/>
      <c r="M7" s="67"/>
      <c r="N7" s="76"/>
      <c r="O7" s="66"/>
      <c r="P7" s="67"/>
      <c r="Q7" s="67"/>
      <c r="R7" s="67"/>
      <c r="S7" s="76"/>
      <c r="T7" s="66"/>
      <c r="U7" s="67"/>
      <c r="V7" s="67"/>
      <c r="W7" s="67"/>
      <c r="X7" s="76"/>
      <c r="Y7" s="66"/>
      <c r="Z7" s="67"/>
      <c r="AA7" s="67"/>
      <c r="AB7" s="67"/>
      <c r="AC7" s="76"/>
      <c r="AD7" s="66">
        <v>1</v>
      </c>
      <c r="AE7" s="67"/>
      <c r="AF7" s="67"/>
      <c r="AG7" s="67"/>
      <c r="AH7" s="67"/>
      <c r="AI7" s="76"/>
      <c r="AK7" s="66"/>
      <c r="AL7" s="76"/>
      <c r="AN7" s="66">
        <v>1</v>
      </c>
      <c r="AO7" s="67"/>
      <c r="AP7" s="67"/>
      <c r="AQ7" s="76"/>
    </row>
    <row r="8" spans="2:43" x14ac:dyDescent="0.25">
      <c r="B8" s="66"/>
      <c r="C8" s="29" t="s">
        <v>10</v>
      </c>
      <c r="D8" s="66"/>
      <c r="E8" s="67"/>
      <c r="F8" s="67"/>
      <c r="G8" s="67"/>
      <c r="H8" s="67"/>
      <c r="I8" s="76"/>
      <c r="J8" s="66"/>
      <c r="K8" s="67"/>
      <c r="L8" s="67"/>
      <c r="M8" s="67"/>
      <c r="N8" s="76"/>
      <c r="O8" s="66"/>
      <c r="P8" s="67"/>
      <c r="Q8" s="67"/>
      <c r="R8" s="67"/>
      <c r="S8" s="76"/>
      <c r="T8" s="66"/>
      <c r="U8" s="67"/>
      <c r="V8" s="67"/>
      <c r="W8" s="67"/>
      <c r="X8" s="76"/>
      <c r="Y8" s="66"/>
      <c r="Z8" s="67"/>
      <c r="AA8" s="67"/>
      <c r="AB8" s="67"/>
      <c r="AC8" s="76"/>
      <c r="AD8" s="66">
        <v>2</v>
      </c>
      <c r="AE8" s="67"/>
      <c r="AF8" s="67"/>
      <c r="AG8" s="67"/>
      <c r="AH8" s="67"/>
      <c r="AI8" s="76"/>
      <c r="AK8" s="66"/>
      <c r="AL8" s="76"/>
      <c r="AN8" s="66">
        <v>2</v>
      </c>
      <c r="AO8" s="67"/>
      <c r="AP8" s="67"/>
      <c r="AQ8" s="76"/>
    </row>
    <row r="9" spans="2:43" x14ac:dyDescent="0.25">
      <c r="B9" s="66"/>
      <c r="C9" s="29" t="s">
        <v>11</v>
      </c>
      <c r="D9" s="66"/>
      <c r="E9" s="67"/>
      <c r="F9" s="67"/>
      <c r="G9" s="67"/>
      <c r="H9" s="67"/>
      <c r="I9" s="76"/>
      <c r="J9" s="66"/>
      <c r="K9" s="67"/>
      <c r="L9" s="67"/>
      <c r="M9" s="67"/>
      <c r="N9" s="76"/>
      <c r="O9" s="66"/>
      <c r="P9" s="67"/>
      <c r="Q9" s="67"/>
      <c r="R9" s="67"/>
      <c r="S9" s="76"/>
      <c r="T9" s="66"/>
      <c r="U9" s="67"/>
      <c r="V9" s="67"/>
      <c r="W9" s="67"/>
      <c r="X9" s="76"/>
      <c r="Y9" s="66"/>
      <c r="Z9" s="67"/>
      <c r="AA9" s="67"/>
      <c r="AB9" s="67"/>
      <c r="AC9" s="76"/>
      <c r="AD9" s="66">
        <v>3</v>
      </c>
      <c r="AE9" s="67"/>
      <c r="AF9" s="67"/>
      <c r="AG9" s="67"/>
      <c r="AH9" s="67"/>
      <c r="AI9" s="76"/>
      <c r="AK9" s="66"/>
      <c r="AL9" s="76"/>
      <c r="AN9" s="66">
        <v>3</v>
      </c>
      <c r="AO9" s="67"/>
      <c r="AP9" s="67"/>
      <c r="AQ9" s="76"/>
    </row>
    <row r="10" spans="2:43" x14ac:dyDescent="0.25">
      <c r="B10" s="66"/>
      <c r="C10" s="29" t="s">
        <v>25</v>
      </c>
      <c r="D10" s="66"/>
      <c r="E10" s="67"/>
      <c r="F10" s="67"/>
      <c r="G10" s="67"/>
      <c r="H10" s="67"/>
      <c r="I10" s="76"/>
      <c r="J10" s="66"/>
      <c r="K10" s="67"/>
      <c r="L10" s="67"/>
      <c r="M10" s="67"/>
      <c r="N10" s="76"/>
      <c r="O10" s="66"/>
      <c r="P10" s="67"/>
      <c r="Q10" s="67"/>
      <c r="R10" s="67"/>
      <c r="S10" s="76"/>
      <c r="T10" s="66"/>
      <c r="U10" s="67"/>
      <c r="V10" s="67"/>
      <c r="W10" s="67"/>
      <c r="X10" s="76"/>
      <c r="Y10" s="66"/>
      <c r="Z10" s="67"/>
      <c r="AA10" s="67"/>
      <c r="AB10" s="67"/>
      <c r="AC10" s="76"/>
      <c r="AD10" s="66">
        <v>4</v>
      </c>
      <c r="AE10" s="67"/>
      <c r="AF10" s="67"/>
      <c r="AG10" s="67"/>
      <c r="AH10" s="67"/>
      <c r="AI10" s="76"/>
      <c r="AK10" s="66"/>
      <c r="AL10" s="76"/>
      <c r="AN10" s="66">
        <v>4</v>
      </c>
      <c r="AO10" s="67"/>
      <c r="AP10" s="67"/>
      <c r="AQ10" s="76"/>
    </row>
    <row r="11" spans="2:43" x14ac:dyDescent="0.25">
      <c r="B11" s="66"/>
      <c r="C11" s="29" t="s">
        <v>12</v>
      </c>
      <c r="D11" s="66"/>
      <c r="E11" s="67"/>
      <c r="F11" s="67"/>
      <c r="G11" s="67"/>
      <c r="H11" s="67"/>
      <c r="I11" s="76"/>
      <c r="J11" s="66"/>
      <c r="K11" s="67"/>
      <c r="L11" s="67"/>
      <c r="M11" s="67"/>
      <c r="N11" s="76"/>
      <c r="O11" s="66"/>
      <c r="P11" s="67"/>
      <c r="Q11" s="67"/>
      <c r="R11" s="67"/>
      <c r="S11" s="76"/>
      <c r="T11" s="66"/>
      <c r="U11" s="67"/>
      <c r="V11" s="67"/>
      <c r="W11" s="67"/>
      <c r="X11" s="76"/>
      <c r="Y11" s="66"/>
      <c r="Z11" s="67"/>
      <c r="AA11" s="67"/>
      <c r="AB11" s="67"/>
      <c r="AC11" s="76"/>
      <c r="AD11" s="66">
        <v>5</v>
      </c>
      <c r="AE11" s="67"/>
      <c r="AF11" s="67"/>
      <c r="AG11" s="67"/>
      <c r="AH11" s="67"/>
      <c r="AI11" s="76"/>
      <c r="AK11" s="66"/>
      <c r="AL11" s="76"/>
      <c r="AN11" s="66">
        <v>5</v>
      </c>
      <c r="AO11" s="67"/>
      <c r="AP11" s="67"/>
      <c r="AQ11" s="76"/>
    </row>
    <row r="12" spans="2:43" x14ac:dyDescent="0.25">
      <c r="B12" s="66"/>
      <c r="C12" s="29" t="s">
        <v>13</v>
      </c>
      <c r="D12" s="66"/>
      <c r="E12" s="67"/>
      <c r="F12" s="67"/>
      <c r="G12" s="67"/>
      <c r="H12" s="67"/>
      <c r="I12" s="76"/>
      <c r="J12" s="66"/>
      <c r="K12" s="67"/>
      <c r="L12" s="67"/>
      <c r="M12" s="67"/>
      <c r="N12" s="76"/>
      <c r="O12" s="66"/>
      <c r="P12" s="67"/>
      <c r="Q12" s="67"/>
      <c r="R12" s="67"/>
      <c r="S12" s="76"/>
      <c r="T12" s="66"/>
      <c r="U12" s="67"/>
      <c r="V12" s="67"/>
      <c r="W12" s="67"/>
      <c r="X12" s="76"/>
      <c r="Y12" s="66"/>
      <c r="Z12" s="67"/>
      <c r="AA12" s="67"/>
      <c r="AB12" s="67"/>
      <c r="AC12" s="76"/>
      <c r="AD12" s="66">
        <v>6</v>
      </c>
      <c r="AE12" s="67"/>
      <c r="AF12" s="67"/>
      <c r="AG12" s="67"/>
      <c r="AH12" s="67"/>
      <c r="AI12" s="76"/>
      <c r="AK12" s="66"/>
      <c r="AL12" s="76"/>
      <c r="AN12" s="66">
        <v>6</v>
      </c>
      <c r="AO12" s="67"/>
      <c r="AP12" s="67"/>
      <c r="AQ12" s="76"/>
    </row>
    <row r="13" spans="2:43" x14ac:dyDescent="0.25">
      <c r="B13" s="71"/>
      <c r="C13" s="30" t="s">
        <v>14</v>
      </c>
      <c r="D13" s="71"/>
      <c r="E13" s="72"/>
      <c r="F13" s="72"/>
      <c r="G13" s="72"/>
      <c r="H13" s="72"/>
      <c r="I13" s="73"/>
      <c r="J13" s="71"/>
      <c r="K13" s="72"/>
      <c r="L13" s="72"/>
      <c r="M13" s="72"/>
      <c r="N13" s="73"/>
      <c r="O13" s="71"/>
      <c r="P13" s="72"/>
      <c r="Q13" s="72"/>
      <c r="R13" s="72"/>
      <c r="S13" s="73"/>
      <c r="T13" s="71"/>
      <c r="U13" s="72"/>
      <c r="V13" s="72"/>
      <c r="W13" s="72"/>
      <c r="X13" s="73"/>
      <c r="Y13" s="71"/>
      <c r="Z13" s="72"/>
      <c r="AA13" s="72"/>
      <c r="AB13" s="72"/>
      <c r="AC13" s="73"/>
      <c r="AD13" s="71">
        <v>7</v>
      </c>
      <c r="AE13" s="72"/>
      <c r="AF13" s="72"/>
      <c r="AG13" s="72"/>
      <c r="AH13" s="72"/>
      <c r="AI13" s="73"/>
      <c r="AK13" s="71"/>
      <c r="AL13" s="73"/>
      <c r="AN13" s="71">
        <v>7</v>
      </c>
      <c r="AO13" s="72"/>
      <c r="AP13" s="72"/>
      <c r="AQ13" s="73"/>
    </row>
    <row r="15" spans="2:43" x14ac:dyDescent="0.25">
      <c r="D15" s="68" t="s">
        <v>18</v>
      </c>
      <c r="E15" s="69"/>
      <c r="F15" s="69"/>
      <c r="G15" s="69"/>
      <c r="H15" s="69"/>
      <c r="I15" s="70"/>
      <c r="J15" s="69" t="s">
        <v>19</v>
      </c>
      <c r="K15" s="69"/>
      <c r="L15" s="69"/>
      <c r="M15" s="69"/>
      <c r="N15" s="69"/>
      <c r="O15" s="68" t="s">
        <v>20</v>
      </c>
      <c r="P15" s="69"/>
      <c r="Q15" s="69"/>
      <c r="R15" s="69"/>
      <c r="S15" s="69"/>
      <c r="T15" s="68" t="s">
        <v>35</v>
      </c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70"/>
      <c r="AK15" s="2"/>
      <c r="AL15" s="2"/>
      <c r="AN15" s="2"/>
      <c r="AO15" s="2"/>
      <c r="AP15" s="2"/>
      <c r="AQ15" s="2"/>
    </row>
    <row r="16" spans="2:43" x14ac:dyDescent="0.25">
      <c r="B16" s="65" t="s">
        <v>34</v>
      </c>
      <c r="C16" s="57" t="s">
        <v>26</v>
      </c>
      <c r="D16" s="65">
        <v>16</v>
      </c>
      <c r="E16" s="74"/>
      <c r="F16" s="74"/>
      <c r="G16" s="74"/>
      <c r="H16" s="74"/>
      <c r="I16" s="75"/>
      <c r="J16" s="65"/>
      <c r="K16" s="74"/>
      <c r="L16" s="74"/>
      <c r="M16" s="74"/>
      <c r="N16" s="75"/>
      <c r="O16" s="65"/>
      <c r="P16" s="74"/>
      <c r="Q16" s="74"/>
      <c r="R16" s="74"/>
      <c r="S16" s="75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5"/>
      <c r="AK16" s="65">
        <v>3</v>
      </c>
      <c r="AL16" s="75"/>
      <c r="AN16" s="65">
        <v>0</v>
      </c>
      <c r="AO16" s="74"/>
      <c r="AP16" s="74"/>
      <c r="AQ16" s="75"/>
    </row>
    <row r="17" spans="2:43" x14ac:dyDescent="0.25">
      <c r="B17" s="66"/>
      <c r="C17" s="58" t="s">
        <v>27</v>
      </c>
      <c r="D17" s="66">
        <v>17</v>
      </c>
      <c r="E17" s="67"/>
      <c r="F17" s="67"/>
      <c r="G17" s="67"/>
      <c r="H17" s="67"/>
      <c r="I17" s="76"/>
      <c r="J17" s="66"/>
      <c r="K17" s="67"/>
      <c r="L17" s="67"/>
      <c r="M17" s="67"/>
      <c r="N17" s="76"/>
      <c r="O17" s="66"/>
      <c r="P17" s="67"/>
      <c r="Q17" s="67"/>
      <c r="R17" s="67"/>
      <c r="S17" s="76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76"/>
      <c r="AK17" s="66"/>
      <c r="AL17" s="76"/>
      <c r="AN17" s="66">
        <v>1</v>
      </c>
      <c r="AO17" s="67"/>
      <c r="AP17" s="67"/>
      <c r="AQ17" s="76"/>
    </row>
    <row r="18" spans="2:43" x14ac:dyDescent="0.25">
      <c r="B18" s="66"/>
      <c r="C18" s="58" t="s">
        <v>28</v>
      </c>
      <c r="D18" s="66">
        <v>18</v>
      </c>
      <c r="E18" s="67"/>
      <c r="F18" s="67"/>
      <c r="G18" s="67"/>
      <c r="H18" s="67"/>
      <c r="I18" s="76"/>
      <c r="J18" s="66"/>
      <c r="K18" s="67"/>
      <c r="L18" s="67"/>
      <c r="M18" s="67"/>
      <c r="N18" s="76"/>
      <c r="O18" s="66"/>
      <c r="P18" s="67"/>
      <c r="Q18" s="67"/>
      <c r="R18" s="67"/>
      <c r="S18" s="76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76"/>
      <c r="AK18" s="66"/>
      <c r="AL18" s="76"/>
      <c r="AN18" s="66">
        <v>2</v>
      </c>
      <c r="AO18" s="67"/>
      <c r="AP18" s="67"/>
      <c r="AQ18" s="76"/>
    </row>
    <row r="19" spans="2:43" x14ac:dyDescent="0.25">
      <c r="B19" s="66"/>
      <c r="C19" s="58" t="s">
        <v>29</v>
      </c>
      <c r="D19" s="66">
        <v>19</v>
      </c>
      <c r="E19" s="67"/>
      <c r="F19" s="67"/>
      <c r="G19" s="67"/>
      <c r="H19" s="67"/>
      <c r="I19" s="76"/>
      <c r="J19" s="66"/>
      <c r="K19" s="67"/>
      <c r="L19" s="67"/>
      <c r="M19" s="67"/>
      <c r="N19" s="76"/>
      <c r="O19" s="66"/>
      <c r="P19" s="67"/>
      <c r="Q19" s="67"/>
      <c r="R19" s="67"/>
      <c r="S19" s="76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76"/>
      <c r="AK19" s="66"/>
      <c r="AL19" s="76"/>
      <c r="AN19" s="66">
        <v>3</v>
      </c>
      <c r="AO19" s="67"/>
      <c r="AP19" s="67"/>
      <c r="AQ19" s="76"/>
    </row>
    <row r="20" spans="2:43" x14ac:dyDescent="0.25">
      <c r="B20" s="66"/>
      <c r="C20" s="58" t="s">
        <v>30</v>
      </c>
      <c r="D20" s="66">
        <v>20</v>
      </c>
      <c r="E20" s="67"/>
      <c r="F20" s="67"/>
      <c r="G20" s="67"/>
      <c r="H20" s="67"/>
      <c r="I20" s="76"/>
      <c r="J20" s="66"/>
      <c r="K20" s="67"/>
      <c r="L20" s="67"/>
      <c r="M20" s="67"/>
      <c r="N20" s="76"/>
      <c r="O20" s="66"/>
      <c r="P20" s="67"/>
      <c r="Q20" s="67"/>
      <c r="R20" s="67"/>
      <c r="S20" s="76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76"/>
      <c r="AK20" s="66"/>
      <c r="AL20" s="76"/>
      <c r="AN20" s="66">
        <v>4</v>
      </c>
      <c r="AO20" s="67"/>
      <c r="AP20" s="67"/>
      <c r="AQ20" s="76"/>
    </row>
    <row r="21" spans="2:43" x14ac:dyDescent="0.25">
      <c r="B21" s="66"/>
      <c r="C21" s="58" t="s">
        <v>31</v>
      </c>
      <c r="D21" s="66">
        <v>21</v>
      </c>
      <c r="E21" s="67"/>
      <c r="F21" s="67"/>
      <c r="G21" s="67"/>
      <c r="H21" s="67"/>
      <c r="I21" s="76"/>
      <c r="J21" s="66"/>
      <c r="K21" s="67"/>
      <c r="L21" s="67"/>
      <c r="M21" s="67"/>
      <c r="N21" s="76"/>
      <c r="O21" s="66"/>
      <c r="P21" s="67"/>
      <c r="Q21" s="67"/>
      <c r="R21" s="67"/>
      <c r="S21" s="76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76"/>
      <c r="AK21" s="66"/>
      <c r="AL21" s="76"/>
      <c r="AN21" s="66">
        <v>5</v>
      </c>
      <c r="AO21" s="67"/>
      <c r="AP21" s="67"/>
      <c r="AQ21" s="76"/>
    </row>
    <row r="22" spans="2:43" x14ac:dyDescent="0.25">
      <c r="B22" s="66"/>
      <c r="C22" s="58" t="s">
        <v>32</v>
      </c>
      <c r="D22" s="66">
        <v>22</v>
      </c>
      <c r="E22" s="67"/>
      <c r="F22" s="67"/>
      <c r="G22" s="67"/>
      <c r="H22" s="67"/>
      <c r="I22" s="76"/>
      <c r="J22" s="66"/>
      <c r="K22" s="67"/>
      <c r="L22" s="67"/>
      <c r="M22" s="67"/>
      <c r="N22" s="76"/>
      <c r="O22" s="66"/>
      <c r="P22" s="67"/>
      <c r="Q22" s="67"/>
      <c r="R22" s="67"/>
      <c r="S22" s="76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76"/>
      <c r="AK22" s="66"/>
      <c r="AL22" s="76"/>
      <c r="AN22" s="66">
        <v>6</v>
      </c>
      <c r="AO22" s="67"/>
      <c r="AP22" s="67"/>
      <c r="AQ22" s="76"/>
    </row>
    <row r="23" spans="2:43" ht="14.25" customHeight="1" x14ac:dyDescent="0.25">
      <c r="B23" s="71"/>
      <c r="C23" s="59" t="s">
        <v>33</v>
      </c>
      <c r="D23" s="71">
        <v>23</v>
      </c>
      <c r="E23" s="72"/>
      <c r="F23" s="72"/>
      <c r="G23" s="72"/>
      <c r="H23" s="72"/>
      <c r="I23" s="73"/>
      <c r="J23" s="71"/>
      <c r="K23" s="72"/>
      <c r="L23" s="72"/>
      <c r="M23" s="72"/>
      <c r="N23" s="73"/>
      <c r="O23" s="71"/>
      <c r="P23" s="72"/>
      <c r="Q23" s="72"/>
      <c r="R23" s="72"/>
      <c r="S23" s="73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3"/>
      <c r="AK23" s="71"/>
      <c r="AL23" s="73"/>
      <c r="AN23" s="71">
        <v>7</v>
      </c>
      <c r="AO23" s="72"/>
      <c r="AP23" s="72"/>
      <c r="AQ23" s="73"/>
    </row>
    <row r="24" spans="2:43" ht="14.25" customHeight="1" x14ac:dyDescent="0.25"/>
    <row r="25" spans="2:43" x14ac:dyDescent="0.25">
      <c r="D25" s="68" t="s">
        <v>18</v>
      </c>
      <c r="E25" s="69"/>
      <c r="F25" s="69"/>
      <c r="G25" s="69"/>
      <c r="H25" s="69"/>
      <c r="I25" s="69"/>
      <c r="J25" s="68" t="s">
        <v>19</v>
      </c>
      <c r="K25" s="69"/>
      <c r="L25" s="69"/>
      <c r="M25" s="69"/>
      <c r="N25" s="70"/>
      <c r="O25" s="68" t="s">
        <v>20</v>
      </c>
      <c r="P25" s="69"/>
      <c r="Q25" s="69"/>
      <c r="R25" s="69"/>
      <c r="S25" s="70"/>
      <c r="T25" s="69" t="s">
        <v>4</v>
      </c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70"/>
      <c r="AK25" s="2"/>
      <c r="AL25" s="2"/>
      <c r="AN25" s="2"/>
      <c r="AO25" s="2"/>
      <c r="AP25" s="2"/>
      <c r="AQ25" s="2"/>
    </row>
    <row r="26" spans="2:43" x14ac:dyDescent="0.25">
      <c r="B26" s="77" t="s">
        <v>16</v>
      </c>
      <c r="C26" s="51" t="s">
        <v>5</v>
      </c>
      <c r="D26" s="66">
        <v>35</v>
      </c>
      <c r="E26" s="67"/>
      <c r="F26" s="67"/>
      <c r="G26" s="67"/>
      <c r="H26" s="67"/>
      <c r="I26" s="76"/>
      <c r="J26" s="66"/>
      <c r="K26" s="67"/>
      <c r="L26" s="67"/>
      <c r="M26" s="67"/>
      <c r="N26" s="76"/>
      <c r="O26" s="66"/>
      <c r="P26" s="67"/>
      <c r="Q26" s="67"/>
      <c r="R26" s="67"/>
      <c r="S26" s="76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76"/>
      <c r="AK26" s="65">
        <v>0</v>
      </c>
      <c r="AL26" s="75"/>
      <c r="AN26" s="65">
        <v>0</v>
      </c>
      <c r="AO26" s="74"/>
      <c r="AP26" s="74"/>
      <c r="AQ26" s="75"/>
    </row>
    <row r="27" spans="2:43" x14ac:dyDescent="0.25">
      <c r="B27" s="78"/>
      <c r="C27" s="30" t="s">
        <v>6</v>
      </c>
      <c r="D27" s="71">
        <v>43</v>
      </c>
      <c r="E27" s="72"/>
      <c r="F27" s="72"/>
      <c r="G27" s="72"/>
      <c r="H27" s="72"/>
      <c r="I27" s="73"/>
      <c r="J27" s="71"/>
      <c r="K27" s="72"/>
      <c r="L27" s="72"/>
      <c r="M27" s="72"/>
      <c r="N27" s="73"/>
      <c r="O27" s="71"/>
      <c r="P27" s="72"/>
      <c r="Q27" s="72"/>
      <c r="R27" s="72"/>
      <c r="S27" s="73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3"/>
      <c r="AK27" s="71"/>
      <c r="AL27" s="73"/>
      <c r="AN27" s="71"/>
      <c r="AO27" s="72"/>
      <c r="AP27" s="72"/>
      <c r="AQ27" s="73"/>
    </row>
    <row r="29" spans="2:43" x14ac:dyDescent="0.25">
      <c r="D29" s="65" t="s">
        <v>18</v>
      </c>
      <c r="E29" s="74"/>
      <c r="F29" s="74"/>
      <c r="G29" s="74"/>
      <c r="H29" s="74"/>
      <c r="I29" s="75"/>
      <c r="J29" s="65" t="s">
        <v>19</v>
      </c>
      <c r="K29" s="74"/>
      <c r="L29" s="74"/>
      <c r="M29" s="74"/>
      <c r="N29" s="75"/>
      <c r="O29" s="65" t="s">
        <v>20</v>
      </c>
      <c r="P29" s="74"/>
      <c r="Q29" s="74"/>
      <c r="R29" s="74"/>
      <c r="S29" s="75"/>
      <c r="T29" s="65" t="s">
        <v>4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5"/>
      <c r="AK29" s="2"/>
      <c r="AL29" s="2"/>
      <c r="AN29" s="2"/>
      <c r="AO29" s="2"/>
      <c r="AP29" s="2"/>
      <c r="AQ29" s="2"/>
    </row>
    <row r="30" spans="2:43" x14ac:dyDescent="0.25">
      <c r="B30" s="60" t="s">
        <v>2</v>
      </c>
      <c r="C30" s="56" t="s">
        <v>7</v>
      </c>
      <c r="D30" s="68">
        <v>4</v>
      </c>
      <c r="E30" s="69"/>
      <c r="F30" s="69"/>
      <c r="G30" s="69"/>
      <c r="H30" s="69"/>
      <c r="I30" s="70"/>
      <c r="J30" s="68"/>
      <c r="K30" s="69"/>
      <c r="L30" s="69"/>
      <c r="M30" s="69"/>
      <c r="N30" s="70"/>
      <c r="O30" s="68"/>
      <c r="P30" s="69"/>
      <c r="Q30" s="69"/>
      <c r="R30" s="69"/>
      <c r="S30" s="70"/>
      <c r="T30" s="68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70"/>
      <c r="AK30" s="68">
        <v>1</v>
      </c>
      <c r="AL30" s="70"/>
      <c r="AN30" s="68">
        <v>1</v>
      </c>
      <c r="AO30" s="69"/>
      <c r="AP30" s="69"/>
      <c r="AQ30" s="70"/>
    </row>
    <row r="32" spans="2:43" x14ac:dyDescent="0.25">
      <c r="D32" s="68" t="s">
        <v>18</v>
      </c>
      <c r="E32" s="69"/>
      <c r="F32" s="69"/>
      <c r="G32" s="69"/>
      <c r="H32" s="69"/>
      <c r="I32" s="70"/>
      <c r="J32" s="68" t="s">
        <v>4</v>
      </c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70"/>
      <c r="AK32" s="2"/>
      <c r="AL32" s="2"/>
      <c r="AN32" s="2"/>
      <c r="AO32" s="2"/>
      <c r="AP32" s="2"/>
      <c r="AQ32" s="2"/>
    </row>
    <row r="33" spans="2:44" x14ac:dyDescent="0.25">
      <c r="B33" s="65" t="s">
        <v>1</v>
      </c>
      <c r="C33" s="57" t="s">
        <v>17</v>
      </c>
      <c r="D33" s="65">
        <v>2</v>
      </c>
      <c r="E33" s="74"/>
      <c r="F33" s="74"/>
      <c r="G33" s="74"/>
      <c r="H33" s="74"/>
      <c r="I33" s="75"/>
      <c r="J33" s="65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5"/>
      <c r="AK33" s="65">
        <v>1</v>
      </c>
      <c r="AL33" s="75"/>
      <c r="AN33" s="65">
        <v>1</v>
      </c>
      <c r="AO33" s="74"/>
      <c r="AP33" s="74"/>
      <c r="AQ33" s="75"/>
    </row>
    <row r="34" spans="2:44" x14ac:dyDescent="0.25">
      <c r="B34" s="66"/>
      <c r="C34" s="29" t="s">
        <v>84</v>
      </c>
      <c r="D34" s="66">
        <v>8</v>
      </c>
      <c r="E34" s="67"/>
      <c r="F34" s="67"/>
      <c r="G34" s="67"/>
      <c r="H34" s="67"/>
      <c r="I34" s="67"/>
      <c r="J34" s="68"/>
      <c r="K34" s="69"/>
      <c r="L34" s="69"/>
      <c r="M34" s="69"/>
      <c r="N34" s="69"/>
      <c r="O34" s="68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70"/>
      <c r="AJ34" s="29"/>
      <c r="AK34" s="71">
        <v>1</v>
      </c>
      <c r="AL34" s="72"/>
      <c r="AM34" s="58"/>
      <c r="AN34" s="72">
        <v>1</v>
      </c>
      <c r="AO34" s="72"/>
      <c r="AP34" s="72"/>
      <c r="AQ34" s="73"/>
      <c r="AR34" s="29"/>
    </row>
    <row r="35" spans="2:44" x14ac:dyDescent="0.25">
      <c r="B35" s="52"/>
      <c r="C35" s="52"/>
      <c r="D35" s="52"/>
      <c r="E35" s="52"/>
      <c r="F35" s="52"/>
      <c r="G35" s="52"/>
      <c r="H35" s="52"/>
      <c r="I35" s="52"/>
      <c r="J35" s="68" t="s">
        <v>19</v>
      </c>
      <c r="K35" s="69"/>
      <c r="L35" s="69"/>
      <c r="M35" s="69"/>
      <c r="N35" s="70"/>
      <c r="O35" s="68" t="s">
        <v>85</v>
      </c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70"/>
    </row>
  </sheetData>
  <mergeCells count="145">
    <mergeCell ref="T6:X6"/>
    <mergeCell ref="T7:X7"/>
    <mergeCell ref="T8:X8"/>
    <mergeCell ref="T9:X9"/>
    <mergeCell ref="T10:X10"/>
    <mergeCell ref="T11:X11"/>
    <mergeCell ref="AD6:AI6"/>
    <mergeCell ref="AD7:AI7"/>
    <mergeCell ref="AD8:AI8"/>
    <mergeCell ref="D15:I15"/>
    <mergeCell ref="J15:N15"/>
    <mergeCell ref="J16:N16"/>
    <mergeCell ref="J17:N17"/>
    <mergeCell ref="J18:N18"/>
    <mergeCell ref="T15:AI15"/>
    <mergeCell ref="T16:AI16"/>
    <mergeCell ref="T17:AI17"/>
    <mergeCell ref="T18:AI18"/>
    <mergeCell ref="O15:S15"/>
    <mergeCell ref="O16:S16"/>
    <mergeCell ref="O17:S17"/>
    <mergeCell ref="O18:S18"/>
    <mergeCell ref="B16:B23"/>
    <mergeCell ref="D16:I16"/>
    <mergeCell ref="D17:I17"/>
    <mergeCell ref="D18:I18"/>
    <mergeCell ref="D19:I19"/>
    <mergeCell ref="D20:I20"/>
    <mergeCell ref="D21:I21"/>
    <mergeCell ref="D22:I22"/>
    <mergeCell ref="D23:I23"/>
    <mergeCell ref="AD5:AI5"/>
    <mergeCell ref="Y5:AC5"/>
    <mergeCell ref="D6:I13"/>
    <mergeCell ref="B6:B13"/>
    <mergeCell ref="B26:B27"/>
    <mergeCell ref="D5:I5"/>
    <mergeCell ref="J5:N5"/>
    <mergeCell ref="O5:S5"/>
    <mergeCell ref="T5:X5"/>
    <mergeCell ref="J12:N12"/>
    <mergeCell ref="O12:S12"/>
    <mergeCell ref="T12:X12"/>
    <mergeCell ref="Y12:AC12"/>
    <mergeCell ref="AD12:AI12"/>
    <mergeCell ref="D26:I26"/>
    <mergeCell ref="D27:I27"/>
    <mergeCell ref="AD11:AI11"/>
    <mergeCell ref="T13:X13"/>
    <mergeCell ref="Y6:AC6"/>
    <mergeCell ref="Y7:AC7"/>
    <mergeCell ref="Y8:AC8"/>
    <mergeCell ref="Y9:AC9"/>
    <mergeCell ref="Y10:AC10"/>
    <mergeCell ref="Y11:AC11"/>
    <mergeCell ref="J7:N7"/>
    <mergeCell ref="J8:N8"/>
    <mergeCell ref="J9:N9"/>
    <mergeCell ref="J10:N10"/>
    <mergeCell ref="J11:N11"/>
    <mergeCell ref="O26:S26"/>
    <mergeCell ref="O27:S27"/>
    <mergeCell ref="J19:N19"/>
    <mergeCell ref="J20:N20"/>
    <mergeCell ref="J21:N21"/>
    <mergeCell ref="J22:N22"/>
    <mergeCell ref="J23:N23"/>
    <mergeCell ref="O20:S20"/>
    <mergeCell ref="O21:S21"/>
    <mergeCell ref="O22:S22"/>
    <mergeCell ref="O23:S23"/>
    <mergeCell ref="O19:S19"/>
    <mergeCell ref="AD9:AI9"/>
    <mergeCell ref="AD10:AI10"/>
    <mergeCell ref="T25:AI25"/>
    <mergeCell ref="T26:AI26"/>
    <mergeCell ref="T27:AI27"/>
    <mergeCell ref="J32:AI32"/>
    <mergeCell ref="J33:AI33"/>
    <mergeCell ref="D2:AI2"/>
    <mergeCell ref="AK2:AL2"/>
    <mergeCell ref="AK33:AL33"/>
    <mergeCell ref="D30:I30"/>
    <mergeCell ref="D33:I33"/>
    <mergeCell ref="D25:I25"/>
    <mergeCell ref="D29:I29"/>
    <mergeCell ref="D32:I32"/>
    <mergeCell ref="J13:N13"/>
    <mergeCell ref="O6:S6"/>
    <mergeCell ref="O7:S7"/>
    <mergeCell ref="O8:S8"/>
    <mergeCell ref="O9:S9"/>
    <mergeCell ref="O10:S10"/>
    <mergeCell ref="O11:S11"/>
    <mergeCell ref="O13:S13"/>
    <mergeCell ref="J6:N6"/>
    <mergeCell ref="J29:N29"/>
    <mergeCell ref="J30:N30"/>
    <mergeCell ref="O29:S29"/>
    <mergeCell ref="O30:S30"/>
    <mergeCell ref="T29:AI29"/>
    <mergeCell ref="T30:AI30"/>
    <mergeCell ref="AD13:AI13"/>
    <mergeCell ref="J25:N25"/>
    <mergeCell ref="J26:N26"/>
    <mergeCell ref="J27:N27"/>
    <mergeCell ref="O25:S25"/>
    <mergeCell ref="Y13:AC13"/>
    <mergeCell ref="T19:AI19"/>
    <mergeCell ref="T20:AI20"/>
    <mergeCell ref="T21:AI21"/>
    <mergeCell ref="T22:AI22"/>
    <mergeCell ref="T23:AI23"/>
    <mergeCell ref="AN30:AQ30"/>
    <mergeCell ref="AK30:AL30"/>
    <mergeCell ref="AK26:AL27"/>
    <mergeCell ref="AN26:AQ27"/>
    <mergeCell ref="AN20:AQ20"/>
    <mergeCell ref="AN21:AQ21"/>
    <mergeCell ref="AN22:AQ22"/>
    <mergeCell ref="AN23:AQ23"/>
    <mergeCell ref="AN2:AQ2"/>
    <mergeCell ref="AN6:AQ6"/>
    <mergeCell ref="AN7:AQ7"/>
    <mergeCell ref="AN8:AQ8"/>
    <mergeCell ref="AN9:AQ9"/>
    <mergeCell ref="AN10:AQ10"/>
    <mergeCell ref="AN11:AQ11"/>
    <mergeCell ref="AN13:AQ13"/>
    <mergeCell ref="AN16:AQ16"/>
    <mergeCell ref="AN17:AQ17"/>
    <mergeCell ref="AN18:AQ18"/>
    <mergeCell ref="AN12:AQ12"/>
    <mergeCell ref="AK6:AL13"/>
    <mergeCell ref="AN19:AQ19"/>
    <mergeCell ref="AK16:AL23"/>
    <mergeCell ref="B33:B34"/>
    <mergeCell ref="D34:I34"/>
    <mergeCell ref="J34:N34"/>
    <mergeCell ref="O34:AI34"/>
    <mergeCell ref="AK34:AL34"/>
    <mergeCell ref="AN34:AQ34"/>
    <mergeCell ref="J35:N35"/>
    <mergeCell ref="O35:AI35"/>
    <mergeCell ref="AN33:AQ33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ACFC-891B-4400-A184-831AFE99531B}">
  <sheetPr codeName="Hoja2">
    <tabColor theme="2" tint="-0.499984740745262"/>
  </sheetPr>
  <dimension ref="B2:H12"/>
  <sheetViews>
    <sheetView tabSelected="1" zoomScale="115" zoomScaleNormal="115" workbookViewId="0">
      <selection activeCell="H9" sqref="H9"/>
    </sheetView>
  </sheetViews>
  <sheetFormatPr baseColWidth="10" defaultRowHeight="15" x14ac:dyDescent="0.25"/>
  <cols>
    <col min="3" max="3" width="17.5703125" customWidth="1"/>
  </cols>
  <sheetData>
    <row r="2" spans="2:8" x14ac:dyDescent="0.25">
      <c r="B2" s="79" t="s">
        <v>36</v>
      </c>
      <c r="C2" s="40" t="s">
        <v>1</v>
      </c>
      <c r="D2" s="7">
        <f ca="1">ControlUnit!D6</f>
        <v>0</v>
      </c>
      <c r="F2" s="47" t="s">
        <v>75</v>
      </c>
      <c r="G2" s="48">
        <v>0</v>
      </c>
    </row>
    <row r="3" spans="2:8" x14ac:dyDescent="0.25">
      <c r="B3" s="80"/>
      <c r="C3" s="41" t="s">
        <v>86</v>
      </c>
      <c r="D3" s="9">
        <f ca="1">ControlUnit!D7</f>
        <v>0</v>
      </c>
      <c r="F3" s="49" t="s">
        <v>78</v>
      </c>
      <c r="G3" s="11">
        <f ca="1">IF(G2=1,0,IF(D12=0,IF(D3=1,D8,IF(D2=1,D6,IF(AND(D4=1,D5=1),D9+D7,D9))),G3))</f>
        <v>20</v>
      </c>
    </row>
    <row r="4" spans="2:8" x14ac:dyDescent="0.25">
      <c r="B4" s="80"/>
      <c r="C4" s="41" t="s">
        <v>2</v>
      </c>
      <c r="D4" s="9">
        <f ca="1">ControlUnit!D8</f>
        <v>0</v>
      </c>
    </row>
    <row r="5" spans="2:8" x14ac:dyDescent="0.25">
      <c r="B5" s="80"/>
      <c r="C5" s="42" t="s">
        <v>77</v>
      </c>
      <c r="D5" s="9">
        <f ca="1">ALU!E6</f>
        <v>1</v>
      </c>
    </row>
    <row r="6" spans="2:8" x14ac:dyDescent="0.25">
      <c r="B6" s="80"/>
      <c r="C6" s="43" t="s">
        <v>42</v>
      </c>
      <c r="D6" s="9">
        <f ca="1">InstructionMemory!F5</f>
        <v>0</v>
      </c>
      <c r="G6" s="4"/>
    </row>
    <row r="7" spans="2:8" x14ac:dyDescent="0.25">
      <c r="B7" s="80"/>
      <c r="C7" s="43" t="s">
        <v>35</v>
      </c>
      <c r="D7" s="9">
        <f ca="1">InstructionMemory!F12</f>
        <v>0</v>
      </c>
    </row>
    <row r="8" spans="2:8" x14ac:dyDescent="0.25">
      <c r="B8" s="80"/>
      <c r="C8" s="64" t="s">
        <v>87</v>
      </c>
      <c r="D8" s="9">
        <f ca="1">RegisterBank!E9</f>
        <v>0</v>
      </c>
    </row>
    <row r="9" spans="2:8" x14ac:dyDescent="0.25">
      <c r="B9" s="81"/>
      <c r="C9" s="44" t="s">
        <v>76</v>
      </c>
      <c r="D9" s="39">
        <v>20</v>
      </c>
      <c r="H9" s="4"/>
    </row>
    <row r="10" spans="2:8" x14ac:dyDescent="0.25">
      <c r="C10" s="17"/>
    </row>
    <row r="11" spans="2:8" x14ac:dyDescent="0.25">
      <c r="B11" s="82" t="s">
        <v>37</v>
      </c>
      <c r="C11" s="45" t="s">
        <v>40</v>
      </c>
      <c r="D11" s="7">
        <f ca="1">IF(G2=1,0,IF(D12=1,G3,D11))</f>
        <v>19</v>
      </c>
    </row>
    <row r="12" spans="2:8" x14ac:dyDescent="0.25">
      <c r="B12" s="83"/>
      <c r="C12" s="46" t="s">
        <v>41</v>
      </c>
      <c r="D12" s="39">
        <v>0</v>
      </c>
    </row>
  </sheetData>
  <mergeCells count="2">
    <mergeCell ref="B2:B9"/>
    <mergeCell ref="B11:B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EAE1-EC52-4599-9059-9841A100A2B5}">
  <sheetPr codeName="Hoja3">
    <tabColor theme="2" tint="-9.9978637043366805E-2"/>
  </sheetPr>
  <dimension ref="B2:F270"/>
  <sheetViews>
    <sheetView workbookViewId="0">
      <selection activeCell="C15" sqref="C15:C26"/>
    </sheetView>
  </sheetViews>
  <sheetFormatPr baseColWidth="10" defaultRowHeight="15" x14ac:dyDescent="0.25"/>
  <cols>
    <col min="3" max="3" width="18.85546875" customWidth="1"/>
    <col min="4" max="5" width="4.85546875" customWidth="1"/>
    <col min="6" max="6" width="17.7109375" customWidth="1"/>
    <col min="9" max="9" width="12" bestFit="1" customWidth="1"/>
  </cols>
  <sheetData>
    <row r="2" spans="2:6" x14ac:dyDescent="0.25">
      <c r="B2" s="50" t="s">
        <v>36</v>
      </c>
      <c r="C2" s="84" t="s">
        <v>38</v>
      </c>
      <c r="D2" s="85"/>
      <c r="E2" s="85"/>
      <c r="F2" s="12">
        <f ca="1">PC!D11</f>
        <v>19</v>
      </c>
    </row>
    <row r="4" spans="2:6" x14ac:dyDescent="0.25">
      <c r="B4" s="82" t="s">
        <v>37</v>
      </c>
      <c r="C4" s="86" t="s">
        <v>0</v>
      </c>
      <c r="D4" s="86"/>
      <c r="E4" s="86"/>
      <c r="F4" s="7">
        <f ca="1">VLOOKUP(F2,B15:C270,2,FALSE)</f>
        <v>0</v>
      </c>
    </row>
    <row r="5" spans="2:6" x14ac:dyDescent="0.25">
      <c r="B5" s="89"/>
      <c r="C5" s="35" t="s">
        <v>42</v>
      </c>
      <c r="D5" s="38">
        <v>25</v>
      </c>
      <c r="E5" s="38">
        <v>0</v>
      </c>
      <c r="F5" s="9">
        <f t="shared" ref="F5:F11" ca="1" si="0">MOD(ROUNDDOWN($F$4/2^(E5),0),2^(D5-E5+1))</f>
        <v>0</v>
      </c>
    </row>
    <row r="6" spans="2:6" x14ac:dyDescent="0.25">
      <c r="B6" s="89"/>
      <c r="C6" s="35" t="s">
        <v>43</v>
      </c>
      <c r="D6" s="38">
        <v>31</v>
      </c>
      <c r="E6" s="38">
        <v>26</v>
      </c>
      <c r="F6" s="9">
        <f ca="1">MOD(ROUNDDOWN($F$4/2^(E6),0),2^(D6-E6+1))</f>
        <v>0</v>
      </c>
    </row>
    <row r="7" spans="2:6" x14ac:dyDescent="0.25">
      <c r="B7" s="89"/>
      <c r="C7" s="35" t="s">
        <v>44</v>
      </c>
      <c r="D7" s="38">
        <v>25</v>
      </c>
      <c r="E7" s="38">
        <v>21</v>
      </c>
      <c r="F7" s="9">
        <f ca="1">MOD(ROUNDDOWN($F$4/2^(E7),0),2^(D7-E7+1))</f>
        <v>0</v>
      </c>
    </row>
    <row r="8" spans="2:6" x14ac:dyDescent="0.25">
      <c r="B8" s="89"/>
      <c r="C8" s="35" t="s">
        <v>45</v>
      </c>
      <c r="D8" s="38">
        <v>20</v>
      </c>
      <c r="E8" s="38">
        <v>16</v>
      </c>
      <c r="F8" s="9">
        <f t="shared" ca="1" si="0"/>
        <v>0</v>
      </c>
    </row>
    <row r="9" spans="2:6" x14ac:dyDescent="0.25">
      <c r="B9" s="89"/>
      <c r="C9" s="35" t="s">
        <v>46</v>
      </c>
      <c r="D9" s="38">
        <v>15</v>
      </c>
      <c r="E9" s="38">
        <v>11</v>
      </c>
      <c r="F9" s="9">
        <f t="shared" ca="1" si="0"/>
        <v>0</v>
      </c>
    </row>
    <row r="10" spans="2:6" x14ac:dyDescent="0.25">
      <c r="B10" s="89"/>
      <c r="C10" s="35" t="s">
        <v>47</v>
      </c>
      <c r="D10" s="38">
        <v>15</v>
      </c>
      <c r="E10" s="38">
        <v>0</v>
      </c>
      <c r="F10" s="9">
        <f t="shared" ca="1" si="0"/>
        <v>0</v>
      </c>
    </row>
    <row r="11" spans="2:6" x14ac:dyDescent="0.25">
      <c r="B11" s="89"/>
      <c r="C11" s="35" t="s">
        <v>48</v>
      </c>
      <c r="D11" s="38">
        <v>5</v>
      </c>
      <c r="E11" s="38">
        <v>0</v>
      </c>
      <c r="F11" s="9">
        <f t="shared" ca="1" si="0"/>
        <v>0</v>
      </c>
    </row>
    <row r="12" spans="2:6" x14ac:dyDescent="0.25">
      <c r="B12" s="83"/>
      <c r="C12" s="90" t="s">
        <v>35</v>
      </c>
      <c r="D12" s="91"/>
      <c r="E12" s="91"/>
      <c r="F12" s="11">
        <f ca="1">IF(F10&lt;2^15,F10,F10-2^16)</f>
        <v>0</v>
      </c>
    </row>
    <row r="13" spans="2:6" x14ac:dyDescent="0.25">
      <c r="F13" s="4"/>
    </row>
    <row r="14" spans="2:6" x14ac:dyDescent="0.25">
      <c r="B14" s="87" t="s">
        <v>39</v>
      </c>
      <c r="C14" s="88"/>
    </row>
    <row r="15" spans="2:6" x14ac:dyDescent="0.25">
      <c r="B15" s="22">
        <v>0</v>
      </c>
      <c r="C15" s="7">
        <v>2349072384</v>
      </c>
    </row>
    <row r="16" spans="2:6" x14ac:dyDescent="0.25">
      <c r="B16" s="8">
        <v>1</v>
      </c>
      <c r="C16" s="9">
        <v>1075773443</v>
      </c>
    </row>
    <row r="17" spans="2:3" x14ac:dyDescent="0.25">
      <c r="B17" s="8">
        <v>2</v>
      </c>
      <c r="C17" s="9">
        <v>134217733</v>
      </c>
    </row>
    <row r="18" spans="2:3" x14ac:dyDescent="0.25">
      <c r="B18" s="8">
        <v>3</v>
      </c>
      <c r="C18" s="9">
        <v>2885812225</v>
      </c>
    </row>
    <row r="19" spans="2:3" x14ac:dyDescent="0.25">
      <c r="B19" s="8">
        <v>4</v>
      </c>
      <c r="C19" s="9">
        <v>134217740</v>
      </c>
    </row>
    <row r="20" spans="2:3" x14ac:dyDescent="0.25">
      <c r="B20" s="8">
        <v>5</v>
      </c>
      <c r="C20" s="9">
        <v>8392704</v>
      </c>
    </row>
    <row r="21" spans="2:3" x14ac:dyDescent="0.25">
      <c r="B21" s="8">
        <v>6</v>
      </c>
      <c r="C21" s="9">
        <v>1074266113</v>
      </c>
    </row>
    <row r="22" spans="2:3" x14ac:dyDescent="0.25">
      <c r="B22" s="8">
        <v>7</v>
      </c>
      <c r="C22" s="9">
        <v>277348355</v>
      </c>
    </row>
    <row r="23" spans="2:3" x14ac:dyDescent="0.25">
      <c r="B23" s="8">
        <v>8</v>
      </c>
      <c r="C23" s="9">
        <v>1149501441</v>
      </c>
    </row>
    <row r="24" spans="2:3" x14ac:dyDescent="0.25">
      <c r="B24" s="8">
        <v>9</v>
      </c>
      <c r="C24" s="9">
        <v>8523778</v>
      </c>
    </row>
    <row r="25" spans="2:3" x14ac:dyDescent="0.25">
      <c r="B25" s="8">
        <v>10</v>
      </c>
      <c r="C25" s="9">
        <v>134217735</v>
      </c>
    </row>
    <row r="26" spans="2:3" x14ac:dyDescent="0.25">
      <c r="B26" s="8">
        <v>11</v>
      </c>
      <c r="C26" s="9">
        <v>601882624</v>
      </c>
    </row>
    <row r="27" spans="2:3" x14ac:dyDescent="0.25">
      <c r="B27" s="8">
        <v>12</v>
      </c>
      <c r="C27" s="9"/>
    </row>
    <row r="28" spans="2:3" x14ac:dyDescent="0.25">
      <c r="B28" s="8">
        <v>13</v>
      </c>
      <c r="C28" s="9"/>
    </row>
    <row r="29" spans="2:3" x14ac:dyDescent="0.25">
      <c r="B29" s="8">
        <v>14</v>
      </c>
      <c r="C29" s="9"/>
    </row>
    <row r="30" spans="2:3" x14ac:dyDescent="0.25">
      <c r="B30" s="8">
        <v>15</v>
      </c>
      <c r="C30" s="9"/>
    </row>
    <row r="31" spans="2:3" x14ac:dyDescent="0.25">
      <c r="B31" s="8">
        <v>16</v>
      </c>
      <c r="C31" s="9"/>
    </row>
    <row r="32" spans="2:3" x14ac:dyDescent="0.25">
      <c r="B32" s="8">
        <v>17</v>
      </c>
      <c r="C32" s="9"/>
    </row>
    <row r="33" spans="2:3" x14ac:dyDescent="0.25">
      <c r="B33" s="8">
        <v>18</v>
      </c>
      <c r="C33" s="9"/>
    </row>
    <row r="34" spans="2:3" x14ac:dyDescent="0.25">
      <c r="B34" s="8">
        <v>19</v>
      </c>
      <c r="C34" s="9"/>
    </row>
    <row r="35" spans="2:3" x14ac:dyDescent="0.25">
      <c r="B35" s="8">
        <v>20</v>
      </c>
      <c r="C35" s="9"/>
    </row>
    <row r="36" spans="2:3" x14ac:dyDescent="0.25">
      <c r="B36" s="8">
        <v>21</v>
      </c>
      <c r="C36" s="9"/>
    </row>
    <row r="37" spans="2:3" x14ac:dyDescent="0.25">
      <c r="B37" s="8">
        <v>22</v>
      </c>
      <c r="C37" s="9"/>
    </row>
    <row r="38" spans="2:3" x14ac:dyDescent="0.25">
      <c r="B38" s="8">
        <v>23</v>
      </c>
      <c r="C38" s="9"/>
    </row>
    <row r="39" spans="2:3" x14ac:dyDescent="0.25">
      <c r="B39" s="8">
        <v>24</v>
      </c>
      <c r="C39" s="9"/>
    </row>
    <row r="40" spans="2:3" x14ac:dyDescent="0.25">
      <c r="B40" s="8">
        <v>25</v>
      </c>
      <c r="C40" s="9"/>
    </row>
    <row r="41" spans="2:3" x14ac:dyDescent="0.25">
      <c r="B41" s="8">
        <v>26</v>
      </c>
      <c r="C41" s="9"/>
    </row>
    <row r="42" spans="2:3" x14ac:dyDescent="0.25">
      <c r="B42" s="8">
        <v>27</v>
      </c>
      <c r="C42" s="9"/>
    </row>
    <row r="43" spans="2:3" x14ac:dyDescent="0.25">
      <c r="B43" s="8">
        <v>28</v>
      </c>
      <c r="C43" s="9"/>
    </row>
    <row r="44" spans="2:3" x14ac:dyDescent="0.25">
      <c r="B44" s="8">
        <v>29</v>
      </c>
      <c r="C44" s="9"/>
    </row>
    <row r="45" spans="2:3" x14ac:dyDescent="0.25">
      <c r="B45" s="8">
        <v>30</v>
      </c>
      <c r="C45" s="9"/>
    </row>
    <row r="46" spans="2:3" x14ac:dyDescent="0.25">
      <c r="B46" s="8">
        <v>31</v>
      </c>
      <c r="C46" s="9"/>
    </row>
    <row r="47" spans="2:3" x14ac:dyDescent="0.25">
      <c r="B47" s="8">
        <v>32</v>
      </c>
      <c r="C47" s="9"/>
    </row>
    <row r="48" spans="2:3" x14ac:dyDescent="0.25">
      <c r="B48" s="8">
        <v>33</v>
      </c>
      <c r="C48" s="9"/>
    </row>
    <row r="49" spans="2:3" x14ac:dyDescent="0.25">
      <c r="B49" s="8">
        <v>34</v>
      </c>
      <c r="C49" s="9"/>
    </row>
    <row r="50" spans="2:3" x14ac:dyDescent="0.25">
      <c r="B50" s="8">
        <v>35</v>
      </c>
      <c r="C50" s="9"/>
    </row>
    <row r="51" spans="2:3" x14ac:dyDescent="0.25">
      <c r="B51" s="8">
        <v>36</v>
      </c>
      <c r="C51" s="9"/>
    </row>
    <row r="52" spans="2:3" x14ac:dyDescent="0.25">
      <c r="B52" s="8">
        <v>37</v>
      </c>
      <c r="C52" s="9"/>
    </row>
    <row r="53" spans="2:3" x14ac:dyDescent="0.25">
      <c r="B53" s="8">
        <v>38</v>
      </c>
      <c r="C53" s="9"/>
    </row>
    <row r="54" spans="2:3" x14ac:dyDescent="0.25">
      <c r="B54" s="8">
        <v>39</v>
      </c>
      <c r="C54" s="9"/>
    </row>
    <row r="55" spans="2:3" x14ac:dyDescent="0.25">
      <c r="B55" s="8">
        <v>40</v>
      </c>
      <c r="C55" s="9"/>
    </row>
    <row r="56" spans="2:3" x14ac:dyDescent="0.25">
      <c r="B56" s="8">
        <v>41</v>
      </c>
      <c r="C56" s="9"/>
    </row>
    <row r="57" spans="2:3" x14ac:dyDescent="0.25">
      <c r="B57" s="8">
        <v>42</v>
      </c>
      <c r="C57" s="9"/>
    </row>
    <row r="58" spans="2:3" x14ac:dyDescent="0.25">
      <c r="B58" s="8">
        <v>43</v>
      </c>
      <c r="C58" s="9"/>
    </row>
    <row r="59" spans="2:3" x14ac:dyDescent="0.25">
      <c r="B59" s="8">
        <v>44</v>
      </c>
      <c r="C59" s="9"/>
    </row>
    <row r="60" spans="2:3" x14ac:dyDescent="0.25">
      <c r="B60" s="8">
        <v>45</v>
      </c>
      <c r="C60" s="9"/>
    </row>
    <row r="61" spans="2:3" x14ac:dyDescent="0.25">
      <c r="B61" s="8">
        <v>46</v>
      </c>
      <c r="C61" s="9"/>
    </row>
    <row r="62" spans="2:3" x14ac:dyDescent="0.25">
      <c r="B62" s="8">
        <v>47</v>
      </c>
      <c r="C62" s="9"/>
    </row>
    <row r="63" spans="2:3" x14ac:dyDescent="0.25">
      <c r="B63" s="8">
        <v>48</v>
      </c>
      <c r="C63" s="9"/>
    </row>
    <row r="64" spans="2:3" x14ac:dyDescent="0.25">
      <c r="B64" s="8">
        <v>49</v>
      </c>
      <c r="C64" s="9"/>
    </row>
    <row r="65" spans="2:3" x14ac:dyDescent="0.25">
      <c r="B65" s="8">
        <v>50</v>
      </c>
      <c r="C65" s="9"/>
    </row>
    <row r="66" spans="2:3" x14ac:dyDescent="0.25">
      <c r="B66" s="8">
        <v>51</v>
      </c>
      <c r="C66" s="9"/>
    </row>
    <row r="67" spans="2:3" x14ac:dyDescent="0.25">
      <c r="B67" s="8">
        <v>52</v>
      </c>
      <c r="C67" s="9"/>
    </row>
    <row r="68" spans="2:3" x14ac:dyDescent="0.25">
      <c r="B68" s="8">
        <v>53</v>
      </c>
      <c r="C68" s="9"/>
    </row>
    <row r="69" spans="2:3" x14ac:dyDescent="0.25">
      <c r="B69" s="8">
        <v>54</v>
      </c>
      <c r="C69" s="9"/>
    </row>
    <row r="70" spans="2:3" x14ac:dyDescent="0.25">
      <c r="B70" s="8">
        <v>55</v>
      </c>
      <c r="C70" s="9"/>
    </row>
    <row r="71" spans="2:3" x14ac:dyDescent="0.25">
      <c r="B71" s="8">
        <v>56</v>
      </c>
      <c r="C71" s="9"/>
    </row>
    <row r="72" spans="2:3" x14ac:dyDescent="0.25">
      <c r="B72" s="8">
        <v>57</v>
      </c>
      <c r="C72" s="9"/>
    </row>
    <row r="73" spans="2:3" x14ac:dyDescent="0.25">
      <c r="B73" s="8">
        <v>58</v>
      </c>
      <c r="C73" s="9"/>
    </row>
    <row r="74" spans="2:3" x14ac:dyDescent="0.25">
      <c r="B74" s="8">
        <v>59</v>
      </c>
      <c r="C74" s="9"/>
    </row>
    <row r="75" spans="2:3" x14ac:dyDescent="0.25">
      <c r="B75" s="8">
        <v>60</v>
      </c>
      <c r="C75" s="9"/>
    </row>
    <row r="76" spans="2:3" x14ac:dyDescent="0.25">
      <c r="B76" s="8">
        <v>61</v>
      </c>
      <c r="C76" s="9"/>
    </row>
    <row r="77" spans="2:3" x14ac:dyDescent="0.25">
      <c r="B77" s="8">
        <v>62</v>
      </c>
      <c r="C77" s="9"/>
    </row>
    <row r="78" spans="2:3" x14ac:dyDescent="0.25">
      <c r="B78" s="8">
        <v>63</v>
      </c>
      <c r="C78" s="9"/>
    </row>
    <row r="79" spans="2:3" x14ac:dyDescent="0.25">
      <c r="B79" s="8">
        <v>64</v>
      </c>
      <c r="C79" s="9"/>
    </row>
    <row r="80" spans="2:3" x14ac:dyDescent="0.25">
      <c r="B80" s="8">
        <v>65</v>
      </c>
      <c r="C80" s="9"/>
    </row>
    <row r="81" spans="2:3" x14ac:dyDescent="0.25">
      <c r="B81" s="8">
        <v>66</v>
      </c>
      <c r="C81" s="9"/>
    </row>
    <row r="82" spans="2:3" x14ac:dyDescent="0.25">
      <c r="B82" s="8">
        <v>67</v>
      </c>
      <c r="C82" s="9"/>
    </row>
    <row r="83" spans="2:3" x14ac:dyDescent="0.25">
      <c r="B83" s="8">
        <v>68</v>
      </c>
      <c r="C83" s="9"/>
    </row>
    <row r="84" spans="2:3" x14ac:dyDescent="0.25">
      <c r="B84" s="8">
        <v>69</v>
      </c>
      <c r="C84" s="9"/>
    </row>
    <row r="85" spans="2:3" x14ac:dyDescent="0.25">
      <c r="B85" s="8">
        <v>70</v>
      </c>
      <c r="C85" s="9"/>
    </row>
    <row r="86" spans="2:3" x14ac:dyDescent="0.25">
      <c r="B86" s="8">
        <v>71</v>
      </c>
      <c r="C86" s="9"/>
    </row>
    <row r="87" spans="2:3" x14ac:dyDescent="0.25">
      <c r="B87" s="8">
        <v>72</v>
      </c>
      <c r="C87" s="9"/>
    </row>
    <row r="88" spans="2:3" x14ac:dyDescent="0.25">
      <c r="B88" s="8">
        <v>73</v>
      </c>
      <c r="C88" s="9"/>
    </row>
    <row r="89" spans="2:3" x14ac:dyDescent="0.25">
      <c r="B89" s="8">
        <v>74</v>
      </c>
      <c r="C89" s="9"/>
    </row>
    <row r="90" spans="2:3" x14ac:dyDescent="0.25">
      <c r="B90" s="8">
        <v>75</v>
      </c>
      <c r="C90" s="9"/>
    </row>
    <row r="91" spans="2:3" x14ac:dyDescent="0.25">
      <c r="B91" s="8">
        <v>76</v>
      </c>
      <c r="C91" s="9"/>
    </row>
    <row r="92" spans="2:3" x14ac:dyDescent="0.25">
      <c r="B92" s="8">
        <v>77</v>
      </c>
      <c r="C92" s="9"/>
    </row>
    <row r="93" spans="2:3" x14ac:dyDescent="0.25">
      <c r="B93" s="8">
        <v>78</v>
      </c>
      <c r="C93" s="9"/>
    </row>
    <row r="94" spans="2:3" x14ac:dyDescent="0.25">
      <c r="B94" s="8">
        <v>79</v>
      </c>
      <c r="C94" s="9"/>
    </row>
    <row r="95" spans="2:3" x14ac:dyDescent="0.25">
      <c r="B95" s="8">
        <v>80</v>
      </c>
      <c r="C95" s="9"/>
    </row>
    <row r="96" spans="2:3" x14ac:dyDescent="0.25">
      <c r="B96" s="8">
        <v>81</v>
      </c>
      <c r="C96" s="9"/>
    </row>
    <row r="97" spans="2:3" x14ac:dyDescent="0.25">
      <c r="B97" s="8">
        <v>82</v>
      </c>
      <c r="C97" s="9"/>
    </row>
    <row r="98" spans="2:3" x14ac:dyDescent="0.25">
      <c r="B98" s="8">
        <v>83</v>
      </c>
      <c r="C98" s="9"/>
    </row>
    <row r="99" spans="2:3" x14ac:dyDescent="0.25">
      <c r="B99" s="8">
        <v>84</v>
      </c>
      <c r="C99" s="9"/>
    </row>
    <row r="100" spans="2:3" x14ac:dyDescent="0.25">
      <c r="B100" s="8">
        <v>85</v>
      </c>
      <c r="C100" s="9"/>
    </row>
    <row r="101" spans="2:3" x14ac:dyDescent="0.25">
      <c r="B101" s="8">
        <v>86</v>
      </c>
      <c r="C101" s="9"/>
    </row>
    <row r="102" spans="2:3" x14ac:dyDescent="0.25">
      <c r="B102" s="8">
        <v>87</v>
      </c>
      <c r="C102" s="9"/>
    </row>
    <row r="103" spans="2:3" x14ac:dyDescent="0.25">
      <c r="B103" s="8">
        <v>88</v>
      </c>
      <c r="C103" s="9"/>
    </row>
    <row r="104" spans="2:3" x14ac:dyDescent="0.25">
      <c r="B104" s="8">
        <v>89</v>
      </c>
      <c r="C104" s="9"/>
    </row>
    <row r="105" spans="2:3" x14ac:dyDescent="0.25">
      <c r="B105" s="8">
        <v>90</v>
      </c>
      <c r="C105" s="9"/>
    </row>
    <row r="106" spans="2:3" x14ac:dyDescent="0.25">
      <c r="B106" s="8">
        <v>91</v>
      </c>
      <c r="C106" s="9"/>
    </row>
    <row r="107" spans="2:3" x14ac:dyDescent="0.25">
      <c r="B107" s="8">
        <v>92</v>
      </c>
      <c r="C107" s="9"/>
    </row>
    <row r="108" spans="2:3" x14ac:dyDescent="0.25">
      <c r="B108" s="8">
        <v>93</v>
      </c>
      <c r="C108" s="9"/>
    </row>
    <row r="109" spans="2:3" x14ac:dyDescent="0.25">
      <c r="B109" s="8">
        <v>94</v>
      </c>
      <c r="C109" s="9"/>
    </row>
    <row r="110" spans="2:3" x14ac:dyDescent="0.25">
      <c r="B110" s="8">
        <v>95</v>
      </c>
      <c r="C110" s="9"/>
    </row>
    <row r="111" spans="2:3" x14ac:dyDescent="0.25">
      <c r="B111" s="8">
        <v>96</v>
      </c>
      <c r="C111" s="9"/>
    </row>
    <row r="112" spans="2:3" x14ac:dyDescent="0.25">
      <c r="B112" s="8">
        <v>97</v>
      </c>
      <c r="C112" s="9"/>
    </row>
    <row r="113" spans="2:3" x14ac:dyDescent="0.25">
      <c r="B113" s="8">
        <v>98</v>
      </c>
      <c r="C113" s="9"/>
    </row>
    <row r="114" spans="2:3" x14ac:dyDescent="0.25">
      <c r="B114" s="8">
        <v>99</v>
      </c>
      <c r="C114" s="9"/>
    </row>
    <row r="115" spans="2:3" x14ac:dyDescent="0.25">
      <c r="B115" s="8">
        <v>100</v>
      </c>
      <c r="C115" s="9"/>
    </row>
    <row r="116" spans="2:3" x14ac:dyDescent="0.25">
      <c r="B116" s="8">
        <v>101</v>
      </c>
      <c r="C116" s="9"/>
    </row>
    <row r="117" spans="2:3" x14ac:dyDescent="0.25">
      <c r="B117" s="8">
        <v>102</v>
      </c>
      <c r="C117" s="9"/>
    </row>
    <row r="118" spans="2:3" x14ac:dyDescent="0.25">
      <c r="B118" s="8">
        <v>103</v>
      </c>
      <c r="C118" s="9"/>
    </row>
    <row r="119" spans="2:3" x14ac:dyDescent="0.25">
      <c r="B119" s="8">
        <v>104</v>
      </c>
      <c r="C119" s="9"/>
    </row>
    <row r="120" spans="2:3" x14ac:dyDescent="0.25">
      <c r="B120" s="8">
        <v>105</v>
      </c>
      <c r="C120" s="9"/>
    </row>
    <row r="121" spans="2:3" x14ac:dyDescent="0.25">
      <c r="B121" s="8">
        <v>106</v>
      </c>
      <c r="C121" s="9"/>
    </row>
    <row r="122" spans="2:3" x14ac:dyDescent="0.25">
      <c r="B122" s="8">
        <v>107</v>
      </c>
      <c r="C122" s="9"/>
    </row>
    <row r="123" spans="2:3" x14ac:dyDescent="0.25">
      <c r="B123" s="8">
        <v>108</v>
      </c>
      <c r="C123" s="9"/>
    </row>
    <row r="124" spans="2:3" x14ac:dyDescent="0.25">
      <c r="B124" s="8">
        <v>109</v>
      </c>
      <c r="C124" s="9"/>
    </row>
    <row r="125" spans="2:3" x14ac:dyDescent="0.25">
      <c r="B125" s="8">
        <v>110</v>
      </c>
      <c r="C125" s="9"/>
    </row>
    <row r="126" spans="2:3" x14ac:dyDescent="0.25">
      <c r="B126" s="8">
        <v>111</v>
      </c>
      <c r="C126" s="9"/>
    </row>
    <row r="127" spans="2:3" x14ac:dyDescent="0.25">
      <c r="B127" s="8">
        <v>112</v>
      </c>
      <c r="C127" s="9"/>
    </row>
    <row r="128" spans="2:3" x14ac:dyDescent="0.25">
      <c r="B128" s="8">
        <v>113</v>
      </c>
      <c r="C128" s="9"/>
    </row>
    <row r="129" spans="2:3" x14ac:dyDescent="0.25">
      <c r="B129" s="8">
        <v>114</v>
      </c>
      <c r="C129" s="9"/>
    </row>
    <row r="130" spans="2:3" x14ac:dyDescent="0.25">
      <c r="B130" s="8">
        <v>115</v>
      </c>
      <c r="C130" s="9"/>
    </row>
    <row r="131" spans="2:3" x14ac:dyDescent="0.25">
      <c r="B131" s="8">
        <v>116</v>
      </c>
      <c r="C131" s="9"/>
    </row>
    <row r="132" spans="2:3" x14ac:dyDescent="0.25">
      <c r="B132" s="8">
        <v>117</v>
      </c>
      <c r="C132" s="9"/>
    </row>
    <row r="133" spans="2:3" x14ac:dyDescent="0.25">
      <c r="B133" s="8">
        <v>118</v>
      </c>
      <c r="C133" s="9"/>
    </row>
    <row r="134" spans="2:3" x14ac:dyDescent="0.25">
      <c r="B134" s="8">
        <v>119</v>
      </c>
      <c r="C134" s="9"/>
    </row>
    <row r="135" spans="2:3" x14ac:dyDescent="0.25">
      <c r="B135" s="8">
        <v>120</v>
      </c>
      <c r="C135" s="9"/>
    </row>
    <row r="136" spans="2:3" x14ac:dyDescent="0.25">
      <c r="B136" s="8">
        <v>121</v>
      </c>
      <c r="C136" s="9"/>
    </row>
    <row r="137" spans="2:3" x14ac:dyDescent="0.25">
      <c r="B137" s="8">
        <v>122</v>
      </c>
      <c r="C137" s="9"/>
    </row>
    <row r="138" spans="2:3" x14ac:dyDescent="0.25">
      <c r="B138" s="8">
        <v>123</v>
      </c>
      <c r="C138" s="9"/>
    </row>
    <row r="139" spans="2:3" x14ac:dyDescent="0.25">
      <c r="B139" s="8">
        <v>124</v>
      </c>
      <c r="C139" s="9"/>
    </row>
    <row r="140" spans="2:3" x14ac:dyDescent="0.25">
      <c r="B140" s="8">
        <v>125</v>
      </c>
      <c r="C140" s="9"/>
    </row>
    <row r="141" spans="2:3" x14ac:dyDescent="0.25">
      <c r="B141" s="8">
        <v>126</v>
      </c>
      <c r="C141" s="9"/>
    </row>
    <row r="142" spans="2:3" x14ac:dyDescent="0.25">
      <c r="B142" s="8">
        <v>127</v>
      </c>
      <c r="C142" s="9"/>
    </row>
    <row r="143" spans="2:3" x14ac:dyDescent="0.25">
      <c r="B143" s="8">
        <v>128</v>
      </c>
      <c r="C143" s="9"/>
    </row>
    <row r="144" spans="2:3" x14ac:dyDescent="0.25">
      <c r="B144" s="8">
        <v>129</v>
      </c>
      <c r="C144" s="9"/>
    </row>
    <row r="145" spans="2:3" x14ac:dyDescent="0.25">
      <c r="B145" s="8">
        <v>130</v>
      </c>
      <c r="C145" s="9"/>
    </row>
    <row r="146" spans="2:3" x14ac:dyDescent="0.25">
      <c r="B146" s="8">
        <v>131</v>
      </c>
      <c r="C146" s="9"/>
    </row>
    <row r="147" spans="2:3" x14ac:dyDescent="0.25">
      <c r="B147" s="8">
        <v>132</v>
      </c>
      <c r="C147" s="9"/>
    </row>
    <row r="148" spans="2:3" x14ac:dyDescent="0.25">
      <c r="B148" s="8">
        <v>133</v>
      </c>
      <c r="C148" s="9"/>
    </row>
    <row r="149" spans="2:3" x14ac:dyDescent="0.25">
      <c r="B149" s="8">
        <v>134</v>
      </c>
      <c r="C149" s="9"/>
    </row>
    <row r="150" spans="2:3" x14ac:dyDescent="0.25">
      <c r="B150" s="8">
        <v>135</v>
      </c>
      <c r="C150" s="9"/>
    </row>
    <row r="151" spans="2:3" x14ac:dyDescent="0.25">
      <c r="B151" s="8">
        <v>136</v>
      </c>
      <c r="C151" s="9"/>
    </row>
    <row r="152" spans="2:3" x14ac:dyDescent="0.25">
      <c r="B152" s="8">
        <v>137</v>
      </c>
      <c r="C152" s="9"/>
    </row>
    <row r="153" spans="2:3" x14ac:dyDescent="0.25">
      <c r="B153" s="8">
        <v>138</v>
      </c>
      <c r="C153" s="9"/>
    </row>
    <row r="154" spans="2:3" x14ac:dyDescent="0.25">
      <c r="B154" s="8">
        <v>139</v>
      </c>
      <c r="C154" s="9"/>
    </row>
    <row r="155" spans="2:3" x14ac:dyDescent="0.25">
      <c r="B155" s="8">
        <v>140</v>
      </c>
      <c r="C155" s="9"/>
    </row>
    <row r="156" spans="2:3" x14ac:dyDescent="0.25">
      <c r="B156" s="8">
        <v>141</v>
      </c>
      <c r="C156" s="9"/>
    </row>
    <row r="157" spans="2:3" x14ac:dyDescent="0.25">
      <c r="B157" s="8">
        <v>142</v>
      </c>
      <c r="C157" s="9"/>
    </row>
    <row r="158" spans="2:3" x14ac:dyDescent="0.25">
      <c r="B158" s="8">
        <v>143</v>
      </c>
      <c r="C158" s="9"/>
    </row>
    <row r="159" spans="2:3" x14ac:dyDescent="0.25">
      <c r="B159" s="8">
        <v>144</v>
      </c>
      <c r="C159" s="9"/>
    </row>
    <row r="160" spans="2:3" x14ac:dyDescent="0.25">
      <c r="B160" s="8">
        <v>145</v>
      </c>
      <c r="C160" s="9"/>
    </row>
    <row r="161" spans="2:3" x14ac:dyDescent="0.25">
      <c r="B161" s="8">
        <v>146</v>
      </c>
      <c r="C161" s="9"/>
    </row>
    <row r="162" spans="2:3" x14ac:dyDescent="0.25">
      <c r="B162" s="8">
        <v>147</v>
      </c>
      <c r="C162" s="9"/>
    </row>
    <row r="163" spans="2:3" x14ac:dyDescent="0.25">
      <c r="B163" s="8">
        <v>148</v>
      </c>
      <c r="C163" s="9"/>
    </row>
    <row r="164" spans="2:3" x14ac:dyDescent="0.25">
      <c r="B164" s="8">
        <v>149</v>
      </c>
      <c r="C164" s="9"/>
    </row>
    <row r="165" spans="2:3" x14ac:dyDescent="0.25">
      <c r="B165" s="8">
        <v>150</v>
      </c>
      <c r="C165" s="9"/>
    </row>
    <row r="166" spans="2:3" x14ac:dyDescent="0.25">
      <c r="B166" s="8">
        <v>151</v>
      </c>
      <c r="C166" s="9"/>
    </row>
    <row r="167" spans="2:3" x14ac:dyDescent="0.25">
      <c r="B167" s="8">
        <v>152</v>
      </c>
      <c r="C167" s="9"/>
    </row>
    <row r="168" spans="2:3" x14ac:dyDescent="0.25">
      <c r="B168" s="8">
        <v>153</v>
      </c>
      <c r="C168" s="9"/>
    </row>
    <row r="169" spans="2:3" x14ac:dyDescent="0.25">
      <c r="B169" s="8">
        <v>154</v>
      </c>
      <c r="C169" s="9"/>
    </row>
    <row r="170" spans="2:3" x14ac:dyDescent="0.25">
      <c r="B170" s="8">
        <v>155</v>
      </c>
      <c r="C170" s="9"/>
    </row>
    <row r="171" spans="2:3" x14ac:dyDescent="0.25">
      <c r="B171" s="8">
        <v>156</v>
      </c>
      <c r="C171" s="9"/>
    </row>
    <row r="172" spans="2:3" x14ac:dyDescent="0.25">
      <c r="B172" s="8">
        <v>157</v>
      </c>
      <c r="C172" s="9"/>
    </row>
    <row r="173" spans="2:3" x14ac:dyDescent="0.25">
      <c r="B173" s="8">
        <v>158</v>
      </c>
      <c r="C173" s="9"/>
    </row>
    <row r="174" spans="2:3" x14ac:dyDescent="0.25">
      <c r="B174" s="8">
        <v>159</v>
      </c>
      <c r="C174" s="9"/>
    </row>
    <row r="175" spans="2:3" x14ac:dyDescent="0.25">
      <c r="B175" s="8">
        <v>160</v>
      </c>
      <c r="C175" s="9"/>
    </row>
    <row r="176" spans="2:3" x14ac:dyDescent="0.25">
      <c r="B176" s="8">
        <v>161</v>
      </c>
      <c r="C176" s="9"/>
    </row>
    <row r="177" spans="2:3" x14ac:dyDescent="0.25">
      <c r="B177" s="8">
        <v>162</v>
      </c>
      <c r="C177" s="9"/>
    </row>
    <row r="178" spans="2:3" x14ac:dyDescent="0.25">
      <c r="B178" s="8">
        <v>163</v>
      </c>
      <c r="C178" s="9"/>
    </row>
    <row r="179" spans="2:3" x14ac:dyDescent="0.25">
      <c r="B179" s="8">
        <v>164</v>
      </c>
      <c r="C179" s="9"/>
    </row>
    <row r="180" spans="2:3" x14ac:dyDescent="0.25">
      <c r="B180" s="8">
        <v>165</v>
      </c>
      <c r="C180" s="9"/>
    </row>
    <row r="181" spans="2:3" x14ac:dyDescent="0.25">
      <c r="B181" s="8">
        <v>166</v>
      </c>
      <c r="C181" s="9"/>
    </row>
    <row r="182" spans="2:3" x14ac:dyDescent="0.25">
      <c r="B182" s="8">
        <v>167</v>
      </c>
      <c r="C182" s="9"/>
    </row>
    <row r="183" spans="2:3" x14ac:dyDescent="0.25">
      <c r="B183" s="8">
        <v>168</v>
      </c>
      <c r="C183" s="9"/>
    </row>
    <row r="184" spans="2:3" x14ac:dyDescent="0.25">
      <c r="B184" s="8">
        <v>169</v>
      </c>
      <c r="C184" s="9"/>
    </row>
    <row r="185" spans="2:3" x14ac:dyDescent="0.25">
      <c r="B185" s="8">
        <v>170</v>
      </c>
      <c r="C185" s="9"/>
    </row>
    <row r="186" spans="2:3" x14ac:dyDescent="0.25">
      <c r="B186" s="8">
        <v>171</v>
      </c>
      <c r="C186" s="9"/>
    </row>
    <row r="187" spans="2:3" x14ac:dyDescent="0.25">
      <c r="B187" s="8">
        <v>172</v>
      </c>
      <c r="C187" s="9"/>
    </row>
    <row r="188" spans="2:3" x14ac:dyDescent="0.25">
      <c r="B188" s="8">
        <v>173</v>
      </c>
      <c r="C188" s="9"/>
    </row>
    <row r="189" spans="2:3" x14ac:dyDescent="0.25">
      <c r="B189" s="8">
        <v>174</v>
      </c>
      <c r="C189" s="9"/>
    </row>
    <row r="190" spans="2:3" x14ac:dyDescent="0.25">
      <c r="B190" s="8">
        <v>175</v>
      </c>
      <c r="C190" s="9"/>
    </row>
    <row r="191" spans="2:3" x14ac:dyDescent="0.25">
      <c r="B191" s="8">
        <v>176</v>
      </c>
      <c r="C191" s="9"/>
    </row>
    <row r="192" spans="2:3" x14ac:dyDescent="0.25">
      <c r="B192" s="8">
        <v>177</v>
      </c>
      <c r="C192" s="9"/>
    </row>
    <row r="193" spans="2:3" x14ac:dyDescent="0.25">
      <c r="B193" s="8">
        <v>178</v>
      </c>
      <c r="C193" s="9"/>
    </row>
    <row r="194" spans="2:3" x14ac:dyDescent="0.25">
      <c r="B194" s="8">
        <v>179</v>
      </c>
      <c r="C194" s="9"/>
    </row>
    <row r="195" spans="2:3" x14ac:dyDescent="0.25">
      <c r="B195" s="8">
        <v>180</v>
      </c>
      <c r="C195" s="9"/>
    </row>
    <row r="196" spans="2:3" x14ac:dyDescent="0.25">
      <c r="B196" s="8">
        <v>181</v>
      </c>
      <c r="C196" s="9"/>
    </row>
    <row r="197" spans="2:3" x14ac:dyDescent="0.25">
      <c r="B197" s="8">
        <v>182</v>
      </c>
      <c r="C197" s="9"/>
    </row>
    <row r="198" spans="2:3" x14ac:dyDescent="0.25">
      <c r="B198" s="8">
        <v>183</v>
      </c>
      <c r="C198" s="9"/>
    </row>
    <row r="199" spans="2:3" x14ac:dyDescent="0.25">
      <c r="B199" s="8">
        <v>184</v>
      </c>
      <c r="C199" s="9"/>
    </row>
    <row r="200" spans="2:3" x14ac:dyDescent="0.25">
      <c r="B200" s="8">
        <v>185</v>
      </c>
      <c r="C200" s="9"/>
    </row>
    <row r="201" spans="2:3" x14ac:dyDescent="0.25">
      <c r="B201" s="8">
        <v>186</v>
      </c>
      <c r="C201" s="9"/>
    </row>
    <row r="202" spans="2:3" x14ac:dyDescent="0.25">
      <c r="B202" s="8">
        <v>187</v>
      </c>
      <c r="C202" s="9"/>
    </row>
    <row r="203" spans="2:3" x14ac:dyDescent="0.25">
      <c r="B203" s="8">
        <v>188</v>
      </c>
      <c r="C203" s="9"/>
    </row>
    <row r="204" spans="2:3" x14ac:dyDescent="0.25">
      <c r="B204" s="8">
        <v>189</v>
      </c>
      <c r="C204" s="9"/>
    </row>
    <row r="205" spans="2:3" x14ac:dyDescent="0.25">
      <c r="B205" s="8">
        <v>190</v>
      </c>
      <c r="C205" s="9"/>
    </row>
    <row r="206" spans="2:3" x14ac:dyDescent="0.25">
      <c r="B206" s="8">
        <v>191</v>
      </c>
      <c r="C206" s="9"/>
    </row>
    <row r="207" spans="2:3" x14ac:dyDescent="0.25">
      <c r="B207" s="8">
        <v>192</v>
      </c>
      <c r="C207" s="9"/>
    </row>
    <row r="208" spans="2:3" x14ac:dyDescent="0.25">
      <c r="B208" s="8">
        <v>193</v>
      </c>
      <c r="C208" s="9"/>
    </row>
    <row r="209" spans="2:3" x14ac:dyDescent="0.25">
      <c r="B209" s="8">
        <v>194</v>
      </c>
      <c r="C209" s="9"/>
    </row>
    <row r="210" spans="2:3" x14ac:dyDescent="0.25">
      <c r="B210" s="8">
        <v>195</v>
      </c>
      <c r="C210" s="9"/>
    </row>
    <row r="211" spans="2:3" x14ac:dyDescent="0.25">
      <c r="B211" s="8">
        <v>196</v>
      </c>
      <c r="C211" s="9"/>
    </row>
    <row r="212" spans="2:3" x14ac:dyDescent="0.25">
      <c r="B212" s="8">
        <v>197</v>
      </c>
      <c r="C212" s="9"/>
    </row>
    <row r="213" spans="2:3" x14ac:dyDescent="0.25">
      <c r="B213" s="8">
        <v>198</v>
      </c>
      <c r="C213" s="9"/>
    </row>
    <row r="214" spans="2:3" x14ac:dyDescent="0.25">
      <c r="B214" s="8">
        <v>199</v>
      </c>
      <c r="C214" s="9"/>
    </row>
    <row r="215" spans="2:3" x14ac:dyDescent="0.25">
      <c r="B215" s="8">
        <v>200</v>
      </c>
      <c r="C215" s="9"/>
    </row>
    <row r="216" spans="2:3" x14ac:dyDescent="0.25">
      <c r="B216" s="8">
        <v>201</v>
      </c>
      <c r="C216" s="9"/>
    </row>
    <row r="217" spans="2:3" x14ac:dyDescent="0.25">
      <c r="B217" s="8">
        <v>202</v>
      </c>
      <c r="C217" s="9"/>
    </row>
    <row r="218" spans="2:3" x14ac:dyDescent="0.25">
      <c r="B218" s="8">
        <v>203</v>
      </c>
      <c r="C218" s="9"/>
    </row>
    <row r="219" spans="2:3" x14ac:dyDescent="0.25">
      <c r="B219" s="8">
        <v>204</v>
      </c>
      <c r="C219" s="9"/>
    </row>
    <row r="220" spans="2:3" x14ac:dyDescent="0.25">
      <c r="B220" s="8">
        <v>205</v>
      </c>
      <c r="C220" s="9"/>
    </row>
    <row r="221" spans="2:3" x14ac:dyDescent="0.25">
      <c r="B221" s="8">
        <v>206</v>
      </c>
      <c r="C221" s="9"/>
    </row>
    <row r="222" spans="2:3" x14ac:dyDescent="0.25">
      <c r="B222" s="8">
        <v>207</v>
      </c>
      <c r="C222" s="9"/>
    </row>
    <row r="223" spans="2:3" x14ac:dyDescent="0.25">
      <c r="B223" s="8">
        <v>208</v>
      </c>
      <c r="C223" s="9"/>
    </row>
    <row r="224" spans="2:3" x14ac:dyDescent="0.25">
      <c r="B224" s="8">
        <v>209</v>
      </c>
      <c r="C224" s="9"/>
    </row>
    <row r="225" spans="2:3" x14ac:dyDescent="0.25">
      <c r="B225" s="8">
        <v>210</v>
      </c>
      <c r="C225" s="9"/>
    </row>
    <row r="226" spans="2:3" x14ac:dyDescent="0.25">
      <c r="B226" s="8">
        <v>211</v>
      </c>
      <c r="C226" s="9"/>
    </row>
    <row r="227" spans="2:3" x14ac:dyDescent="0.25">
      <c r="B227" s="8">
        <v>212</v>
      </c>
      <c r="C227" s="9"/>
    </row>
    <row r="228" spans="2:3" x14ac:dyDescent="0.25">
      <c r="B228" s="8">
        <v>213</v>
      </c>
      <c r="C228" s="9"/>
    </row>
    <row r="229" spans="2:3" x14ac:dyDescent="0.25">
      <c r="B229" s="8">
        <v>214</v>
      </c>
      <c r="C229" s="9"/>
    </row>
    <row r="230" spans="2:3" x14ac:dyDescent="0.25">
      <c r="B230" s="8">
        <v>215</v>
      </c>
      <c r="C230" s="9"/>
    </row>
    <row r="231" spans="2:3" x14ac:dyDescent="0.25">
      <c r="B231" s="8">
        <v>216</v>
      </c>
      <c r="C231" s="9"/>
    </row>
    <row r="232" spans="2:3" x14ac:dyDescent="0.25">
      <c r="B232" s="8">
        <v>217</v>
      </c>
      <c r="C232" s="9"/>
    </row>
    <row r="233" spans="2:3" x14ac:dyDescent="0.25">
      <c r="B233" s="8">
        <v>218</v>
      </c>
      <c r="C233" s="9"/>
    </row>
    <row r="234" spans="2:3" x14ac:dyDescent="0.25">
      <c r="B234" s="8">
        <v>219</v>
      </c>
      <c r="C234" s="9"/>
    </row>
    <row r="235" spans="2:3" x14ac:dyDescent="0.25">
      <c r="B235" s="8">
        <v>220</v>
      </c>
      <c r="C235" s="9"/>
    </row>
    <row r="236" spans="2:3" x14ac:dyDescent="0.25">
      <c r="B236" s="8">
        <v>221</v>
      </c>
      <c r="C236" s="9"/>
    </row>
    <row r="237" spans="2:3" x14ac:dyDescent="0.25">
      <c r="B237" s="8">
        <v>222</v>
      </c>
      <c r="C237" s="9"/>
    </row>
    <row r="238" spans="2:3" x14ac:dyDescent="0.25">
      <c r="B238" s="8">
        <v>223</v>
      </c>
      <c r="C238" s="9"/>
    </row>
    <row r="239" spans="2:3" x14ac:dyDescent="0.25">
      <c r="B239" s="8">
        <v>224</v>
      </c>
      <c r="C239" s="9"/>
    </row>
    <row r="240" spans="2:3" x14ac:dyDescent="0.25">
      <c r="B240" s="8">
        <v>225</v>
      </c>
      <c r="C240" s="9"/>
    </row>
    <row r="241" spans="2:3" x14ac:dyDescent="0.25">
      <c r="B241" s="8">
        <v>226</v>
      </c>
      <c r="C241" s="9"/>
    </row>
    <row r="242" spans="2:3" x14ac:dyDescent="0.25">
      <c r="B242" s="8">
        <v>227</v>
      </c>
      <c r="C242" s="9"/>
    </row>
    <row r="243" spans="2:3" x14ac:dyDescent="0.25">
      <c r="B243" s="8">
        <v>228</v>
      </c>
      <c r="C243" s="9"/>
    </row>
    <row r="244" spans="2:3" x14ac:dyDescent="0.25">
      <c r="B244" s="8">
        <v>229</v>
      </c>
      <c r="C244" s="9"/>
    </row>
    <row r="245" spans="2:3" x14ac:dyDescent="0.25">
      <c r="B245" s="8">
        <v>230</v>
      </c>
      <c r="C245" s="9"/>
    </row>
    <row r="246" spans="2:3" x14ac:dyDescent="0.25">
      <c r="B246" s="8">
        <v>231</v>
      </c>
      <c r="C246" s="9"/>
    </row>
    <row r="247" spans="2:3" x14ac:dyDescent="0.25">
      <c r="B247" s="8">
        <v>232</v>
      </c>
      <c r="C247" s="9"/>
    </row>
    <row r="248" spans="2:3" x14ac:dyDescent="0.25">
      <c r="B248" s="8">
        <v>233</v>
      </c>
      <c r="C248" s="9"/>
    </row>
    <row r="249" spans="2:3" x14ac:dyDescent="0.25">
      <c r="B249" s="8">
        <v>234</v>
      </c>
      <c r="C249" s="9"/>
    </row>
    <row r="250" spans="2:3" x14ac:dyDescent="0.25">
      <c r="B250" s="8">
        <v>235</v>
      </c>
      <c r="C250" s="9"/>
    </row>
    <row r="251" spans="2:3" x14ac:dyDescent="0.25">
      <c r="B251" s="8">
        <v>236</v>
      </c>
      <c r="C251" s="9"/>
    </row>
    <row r="252" spans="2:3" x14ac:dyDescent="0.25">
      <c r="B252" s="8">
        <v>237</v>
      </c>
      <c r="C252" s="9"/>
    </row>
    <row r="253" spans="2:3" x14ac:dyDescent="0.25">
      <c r="B253" s="8">
        <v>238</v>
      </c>
      <c r="C253" s="9"/>
    </row>
    <row r="254" spans="2:3" x14ac:dyDescent="0.25">
      <c r="B254" s="8">
        <v>239</v>
      </c>
      <c r="C254" s="9"/>
    </row>
    <row r="255" spans="2:3" x14ac:dyDescent="0.25">
      <c r="B255" s="8">
        <v>240</v>
      </c>
      <c r="C255" s="9"/>
    </row>
    <row r="256" spans="2:3" x14ac:dyDescent="0.25">
      <c r="B256" s="8">
        <v>241</v>
      </c>
      <c r="C256" s="9"/>
    </row>
    <row r="257" spans="2:3" x14ac:dyDescent="0.25">
      <c r="B257" s="8">
        <v>242</v>
      </c>
      <c r="C257" s="9"/>
    </row>
    <row r="258" spans="2:3" x14ac:dyDescent="0.25">
      <c r="B258" s="8">
        <v>243</v>
      </c>
      <c r="C258" s="9"/>
    </row>
    <row r="259" spans="2:3" x14ac:dyDescent="0.25">
      <c r="B259" s="8">
        <v>244</v>
      </c>
      <c r="C259" s="9"/>
    </row>
    <row r="260" spans="2:3" x14ac:dyDescent="0.25">
      <c r="B260" s="8">
        <v>245</v>
      </c>
      <c r="C260" s="9"/>
    </row>
    <row r="261" spans="2:3" x14ac:dyDescent="0.25">
      <c r="B261" s="8">
        <v>246</v>
      </c>
      <c r="C261" s="9"/>
    </row>
    <row r="262" spans="2:3" x14ac:dyDescent="0.25">
      <c r="B262" s="8">
        <v>247</v>
      </c>
      <c r="C262" s="9"/>
    </row>
    <row r="263" spans="2:3" x14ac:dyDescent="0.25">
      <c r="B263" s="8">
        <v>248</v>
      </c>
      <c r="C263" s="9"/>
    </row>
    <row r="264" spans="2:3" x14ac:dyDescent="0.25">
      <c r="B264" s="8">
        <v>249</v>
      </c>
      <c r="C264" s="9"/>
    </row>
    <row r="265" spans="2:3" x14ac:dyDescent="0.25">
      <c r="B265" s="8">
        <v>250</v>
      </c>
      <c r="C265" s="9"/>
    </row>
    <row r="266" spans="2:3" x14ac:dyDescent="0.25">
      <c r="B266" s="8">
        <v>251</v>
      </c>
      <c r="C266" s="9"/>
    </row>
    <row r="267" spans="2:3" x14ac:dyDescent="0.25">
      <c r="B267" s="8">
        <v>252</v>
      </c>
      <c r="C267" s="9"/>
    </row>
    <row r="268" spans="2:3" x14ac:dyDescent="0.25">
      <c r="B268" s="8">
        <v>253</v>
      </c>
      <c r="C268" s="9"/>
    </row>
    <row r="269" spans="2:3" x14ac:dyDescent="0.25">
      <c r="B269" s="8">
        <v>254</v>
      </c>
      <c r="C269" s="9"/>
    </row>
    <row r="270" spans="2:3" x14ac:dyDescent="0.25">
      <c r="B270" s="10">
        <v>255</v>
      </c>
      <c r="C270" s="11"/>
    </row>
  </sheetData>
  <mergeCells count="5">
    <mergeCell ref="C2:E2"/>
    <mergeCell ref="C4:E4"/>
    <mergeCell ref="B14:C14"/>
    <mergeCell ref="B4:B12"/>
    <mergeCell ref="C12:E12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03C3-2C3F-4CBF-A137-CEB9D31A0739}">
  <sheetPr codeName="Hoja4">
    <tabColor theme="5" tint="0.39997558519241921"/>
  </sheetPr>
  <dimension ref="B1:H44"/>
  <sheetViews>
    <sheetView workbookViewId="0">
      <selection activeCell="H2" sqref="H2"/>
    </sheetView>
  </sheetViews>
  <sheetFormatPr baseColWidth="10" defaultRowHeight="15" x14ac:dyDescent="0.25"/>
  <cols>
    <col min="3" max="4" width="7.5703125" customWidth="1"/>
  </cols>
  <sheetData>
    <row r="1" spans="2:8" x14ac:dyDescent="0.25">
      <c r="C1" s="92"/>
      <c r="D1" s="92"/>
    </row>
    <row r="2" spans="2:8" x14ac:dyDescent="0.25">
      <c r="B2" s="104" t="s">
        <v>36</v>
      </c>
      <c r="C2" s="86" t="s">
        <v>56</v>
      </c>
      <c r="D2" s="86"/>
      <c r="E2" s="7">
        <f ca="1">InstructionMemory!F7</f>
        <v>0</v>
      </c>
      <c r="G2" s="3" t="s">
        <v>75</v>
      </c>
      <c r="H2" s="3">
        <v>0</v>
      </c>
    </row>
    <row r="3" spans="2:8" x14ac:dyDescent="0.25">
      <c r="B3" s="105"/>
      <c r="C3" s="93" t="s">
        <v>57</v>
      </c>
      <c r="D3" s="93"/>
      <c r="E3" s="9">
        <f ca="1">InstructionMemory!F8</f>
        <v>0</v>
      </c>
    </row>
    <row r="4" spans="2:8" x14ac:dyDescent="0.25">
      <c r="B4" s="105"/>
      <c r="C4" s="35"/>
      <c r="D4" s="35" t="s">
        <v>58</v>
      </c>
      <c r="E4" s="9">
        <f ca="1">IF(ControlUnit!D5=0,InstructionMemory!F8,InstructionMemory!F9)</f>
        <v>0</v>
      </c>
    </row>
    <row r="5" spans="2:8" x14ac:dyDescent="0.25">
      <c r="B5" s="105"/>
      <c r="C5" s="37"/>
      <c r="D5" s="36" t="s">
        <v>59</v>
      </c>
      <c r="E5" s="9">
        <f ca="1">IF(E7=1,IF(ControlUnit!D10=0,ALU!E7,DataMemory!D8),E5)</f>
        <v>0</v>
      </c>
    </row>
    <row r="6" spans="2:8" x14ac:dyDescent="0.25">
      <c r="B6" s="105"/>
      <c r="C6" s="94" t="s">
        <v>55</v>
      </c>
      <c r="D6" s="94"/>
      <c r="E6" s="9">
        <f ca="1">ControlUnit!D14</f>
        <v>1</v>
      </c>
    </row>
    <row r="7" spans="2:8" x14ac:dyDescent="0.25">
      <c r="B7" s="106"/>
      <c r="C7" s="96" t="s">
        <v>41</v>
      </c>
      <c r="D7" s="96"/>
      <c r="E7" s="11">
        <f>PC!D12</f>
        <v>0</v>
      </c>
    </row>
    <row r="8" spans="2:8" x14ac:dyDescent="0.25">
      <c r="C8" s="97"/>
      <c r="D8" s="97"/>
    </row>
    <row r="9" spans="2:8" x14ac:dyDescent="0.25">
      <c r="B9" s="107" t="s">
        <v>37</v>
      </c>
      <c r="C9" s="98" t="s">
        <v>60</v>
      </c>
      <c r="D9" s="98"/>
      <c r="E9" s="7">
        <f ca="1">VLOOKUP(RegisterBank!E2,RegisterBank!$B$13:$D$44,2,FALSE)</f>
        <v>0</v>
      </c>
    </row>
    <row r="10" spans="2:8" x14ac:dyDescent="0.25">
      <c r="B10" s="108"/>
      <c r="C10" s="99" t="s">
        <v>61</v>
      </c>
      <c r="D10" s="99"/>
      <c r="E10" s="11">
        <f ca="1">VLOOKUP(RegisterBank!E3,RegisterBank!$B$13:$D$44,2,FALSE)</f>
        <v>0</v>
      </c>
    </row>
    <row r="11" spans="2:8" x14ac:dyDescent="0.25">
      <c r="C11" s="92"/>
      <c r="D11" s="92"/>
    </row>
    <row r="12" spans="2:8" x14ac:dyDescent="0.25">
      <c r="B12" s="109" t="s">
        <v>83</v>
      </c>
      <c r="C12" s="110"/>
      <c r="D12" s="111"/>
    </row>
    <row r="13" spans="2:8" x14ac:dyDescent="0.25">
      <c r="B13" s="22">
        <v>0</v>
      </c>
      <c r="C13" s="100">
        <v>0</v>
      </c>
      <c r="D13" s="101"/>
    </row>
    <row r="14" spans="2:8" x14ac:dyDescent="0.25">
      <c r="B14" s="8">
        <v>1</v>
      </c>
      <c r="C14" s="92">
        <f ca="1">IF($H$2=1,0,IF(AND($E$6=1,B14=$E$4,$E$7=0),$E$5,C14))</f>
        <v>0</v>
      </c>
      <c r="D14" s="95"/>
    </row>
    <row r="15" spans="2:8" x14ac:dyDescent="0.25">
      <c r="B15" s="8">
        <v>2</v>
      </c>
      <c r="C15" s="92">
        <f t="shared" ref="C15:C44" ca="1" si="0">IF($H$2=1,0,IF(AND($E$6=1,B15=$E$4,$E$7=0),$E$5,C15))</f>
        <v>120</v>
      </c>
      <c r="D15" s="95"/>
    </row>
    <row r="16" spans="2:8" x14ac:dyDescent="0.25">
      <c r="B16" s="8">
        <v>3</v>
      </c>
      <c r="C16" s="92">
        <f t="shared" ca="1" si="0"/>
        <v>0</v>
      </c>
      <c r="D16" s="95"/>
    </row>
    <row r="17" spans="2:4" x14ac:dyDescent="0.25">
      <c r="B17" s="8">
        <v>4</v>
      </c>
      <c r="C17" s="92">
        <f t="shared" ca="1" si="0"/>
        <v>1</v>
      </c>
      <c r="D17" s="95"/>
    </row>
    <row r="18" spans="2:4" x14ac:dyDescent="0.25">
      <c r="B18" s="8">
        <v>5</v>
      </c>
      <c r="C18" s="92">
        <f t="shared" ca="1" si="0"/>
        <v>0</v>
      </c>
      <c r="D18" s="95"/>
    </row>
    <row r="19" spans="2:4" x14ac:dyDescent="0.25">
      <c r="B19" s="8">
        <v>6</v>
      </c>
      <c r="C19" s="92">
        <f t="shared" ca="1" si="0"/>
        <v>0</v>
      </c>
      <c r="D19" s="95"/>
    </row>
    <row r="20" spans="2:4" x14ac:dyDescent="0.25">
      <c r="B20" s="8">
        <v>7</v>
      </c>
      <c r="C20" s="92">
        <f t="shared" ca="1" si="0"/>
        <v>0</v>
      </c>
      <c r="D20" s="95"/>
    </row>
    <row r="21" spans="2:4" x14ac:dyDescent="0.25">
      <c r="B21" s="8">
        <v>8</v>
      </c>
      <c r="C21" s="92">
        <f t="shared" ca="1" si="0"/>
        <v>1</v>
      </c>
      <c r="D21" s="95"/>
    </row>
    <row r="22" spans="2:4" x14ac:dyDescent="0.25">
      <c r="B22" s="8">
        <v>9</v>
      </c>
      <c r="C22" s="92">
        <f t="shared" ca="1" si="0"/>
        <v>0</v>
      </c>
      <c r="D22" s="95"/>
    </row>
    <row r="23" spans="2:4" x14ac:dyDescent="0.25">
      <c r="B23" s="8">
        <v>10</v>
      </c>
      <c r="C23" s="92">
        <f t="shared" ca="1" si="0"/>
        <v>0</v>
      </c>
      <c r="D23" s="95"/>
    </row>
    <row r="24" spans="2:4" x14ac:dyDescent="0.25">
      <c r="B24" s="8">
        <v>11</v>
      </c>
      <c r="C24" s="92">
        <f t="shared" ca="1" si="0"/>
        <v>0</v>
      </c>
      <c r="D24" s="95"/>
    </row>
    <row r="25" spans="2:4" x14ac:dyDescent="0.25">
      <c r="B25" s="8">
        <v>12</v>
      </c>
      <c r="C25" s="92">
        <f t="shared" ca="1" si="0"/>
        <v>0</v>
      </c>
      <c r="D25" s="95"/>
    </row>
    <row r="26" spans="2:4" x14ac:dyDescent="0.25">
      <c r="B26" s="8">
        <v>13</v>
      </c>
      <c r="C26" s="92">
        <f t="shared" ca="1" si="0"/>
        <v>0</v>
      </c>
      <c r="D26" s="95"/>
    </row>
    <row r="27" spans="2:4" x14ac:dyDescent="0.25">
      <c r="B27" s="8">
        <v>14</v>
      </c>
      <c r="C27" s="92">
        <f t="shared" ca="1" si="0"/>
        <v>0</v>
      </c>
      <c r="D27" s="95"/>
    </row>
    <row r="28" spans="2:4" x14ac:dyDescent="0.25">
      <c r="B28" s="8">
        <v>15</v>
      </c>
      <c r="C28" s="92">
        <f t="shared" ca="1" si="0"/>
        <v>0</v>
      </c>
      <c r="D28" s="95"/>
    </row>
    <row r="29" spans="2:4" x14ac:dyDescent="0.25">
      <c r="B29" s="8">
        <v>16</v>
      </c>
      <c r="C29" s="92">
        <f t="shared" ca="1" si="0"/>
        <v>0</v>
      </c>
      <c r="D29" s="95"/>
    </row>
    <row r="30" spans="2:4" x14ac:dyDescent="0.25">
      <c r="B30" s="8">
        <v>17</v>
      </c>
      <c r="C30" s="92">
        <f t="shared" ca="1" si="0"/>
        <v>0</v>
      </c>
      <c r="D30" s="95"/>
    </row>
    <row r="31" spans="2:4" x14ac:dyDescent="0.25">
      <c r="B31" s="8">
        <v>18</v>
      </c>
      <c r="C31" s="92">
        <f t="shared" ca="1" si="0"/>
        <v>0</v>
      </c>
      <c r="D31" s="95"/>
    </row>
    <row r="32" spans="2:4" x14ac:dyDescent="0.25">
      <c r="B32" s="8">
        <v>19</v>
      </c>
      <c r="C32" s="92">
        <f t="shared" ca="1" si="0"/>
        <v>0</v>
      </c>
      <c r="D32" s="95"/>
    </row>
    <row r="33" spans="2:4" x14ac:dyDescent="0.25">
      <c r="B33" s="8">
        <v>20</v>
      </c>
      <c r="C33" s="92">
        <f t="shared" ca="1" si="0"/>
        <v>0</v>
      </c>
      <c r="D33" s="95"/>
    </row>
    <row r="34" spans="2:4" x14ac:dyDescent="0.25">
      <c r="B34" s="8">
        <v>21</v>
      </c>
      <c r="C34" s="92">
        <f t="shared" ca="1" si="0"/>
        <v>0</v>
      </c>
      <c r="D34" s="95"/>
    </row>
    <row r="35" spans="2:4" x14ac:dyDescent="0.25">
      <c r="B35" s="8">
        <v>22</v>
      </c>
      <c r="C35" s="92">
        <f t="shared" ca="1" si="0"/>
        <v>0</v>
      </c>
      <c r="D35" s="95"/>
    </row>
    <row r="36" spans="2:4" x14ac:dyDescent="0.25">
      <c r="B36" s="8">
        <v>23</v>
      </c>
      <c r="C36" s="92">
        <f t="shared" ca="1" si="0"/>
        <v>0</v>
      </c>
      <c r="D36" s="95"/>
    </row>
    <row r="37" spans="2:4" x14ac:dyDescent="0.25">
      <c r="B37" s="8">
        <v>24</v>
      </c>
      <c r="C37" s="92">
        <f t="shared" ca="1" si="0"/>
        <v>0</v>
      </c>
      <c r="D37" s="95"/>
    </row>
    <row r="38" spans="2:4" x14ac:dyDescent="0.25">
      <c r="B38" s="8">
        <v>25</v>
      </c>
      <c r="C38" s="92">
        <f t="shared" ca="1" si="0"/>
        <v>0</v>
      </c>
      <c r="D38" s="95"/>
    </row>
    <row r="39" spans="2:4" x14ac:dyDescent="0.25">
      <c r="B39" s="8">
        <v>26</v>
      </c>
      <c r="C39" s="92">
        <f t="shared" ca="1" si="0"/>
        <v>0</v>
      </c>
      <c r="D39" s="95"/>
    </row>
    <row r="40" spans="2:4" x14ac:dyDescent="0.25">
      <c r="B40" s="8">
        <v>27</v>
      </c>
      <c r="C40" s="92">
        <f t="shared" ca="1" si="0"/>
        <v>0</v>
      </c>
      <c r="D40" s="95"/>
    </row>
    <row r="41" spans="2:4" x14ac:dyDescent="0.25">
      <c r="B41" s="8">
        <v>28</v>
      </c>
      <c r="C41" s="92">
        <f t="shared" ca="1" si="0"/>
        <v>0</v>
      </c>
      <c r="D41" s="95"/>
    </row>
    <row r="42" spans="2:4" x14ac:dyDescent="0.25">
      <c r="B42" s="8">
        <v>29</v>
      </c>
      <c r="C42" s="92">
        <f t="shared" ca="1" si="0"/>
        <v>0</v>
      </c>
      <c r="D42" s="95"/>
    </row>
    <row r="43" spans="2:4" x14ac:dyDescent="0.25">
      <c r="B43" s="8">
        <v>30</v>
      </c>
      <c r="C43" s="92">
        <f t="shared" ca="1" si="0"/>
        <v>0</v>
      </c>
      <c r="D43" s="95"/>
    </row>
    <row r="44" spans="2:4" x14ac:dyDescent="0.25">
      <c r="B44" s="10">
        <v>31</v>
      </c>
      <c r="C44" s="102">
        <f t="shared" ca="1" si="0"/>
        <v>3</v>
      </c>
      <c r="D44" s="103"/>
    </row>
  </sheetData>
  <mergeCells count="44">
    <mergeCell ref="C44:D44"/>
    <mergeCell ref="B2:B7"/>
    <mergeCell ref="B9:B10"/>
    <mergeCell ref="B12:D12"/>
    <mergeCell ref="C38:D38"/>
    <mergeCell ref="C39:D39"/>
    <mergeCell ref="C40:D40"/>
    <mergeCell ref="C41:D41"/>
    <mergeCell ref="C42:D42"/>
    <mergeCell ref="C43:D43"/>
    <mergeCell ref="C32:D32"/>
    <mergeCell ref="C33:D33"/>
    <mergeCell ref="C34:D34"/>
    <mergeCell ref="C35:D35"/>
    <mergeCell ref="C36:D36"/>
    <mergeCell ref="C37:D37"/>
    <mergeCell ref="C31:D31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1:D1"/>
    <mergeCell ref="C2:D2"/>
    <mergeCell ref="C3:D3"/>
    <mergeCell ref="C6:D6"/>
    <mergeCell ref="C19:D19"/>
    <mergeCell ref="C7:D7"/>
    <mergeCell ref="C8:D8"/>
    <mergeCell ref="C9:D9"/>
    <mergeCell ref="C10:D10"/>
    <mergeCell ref="C11:D11"/>
    <mergeCell ref="C13:D13"/>
    <mergeCell ref="C14:D14"/>
    <mergeCell ref="C15:D15"/>
    <mergeCell ref="C16:D16"/>
    <mergeCell ref="C17:D17"/>
    <mergeCell ref="C18:D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E2C-8E2D-4CFC-997E-05B2E9ED5403}">
  <sheetPr codeName="Hoja5">
    <tabColor theme="4" tint="0.59999389629810485"/>
  </sheetPr>
  <dimension ref="B1:E17"/>
  <sheetViews>
    <sheetView workbookViewId="0">
      <selection activeCell="E4" sqref="E4"/>
    </sheetView>
  </sheetViews>
  <sheetFormatPr baseColWidth="10" defaultRowHeight="15" x14ac:dyDescent="0.25"/>
  <cols>
    <col min="3" max="3" width="6.42578125" bestFit="1" customWidth="1"/>
    <col min="4" max="4" width="5.28515625" customWidth="1"/>
  </cols>
  <sheetData>
    <row r="1" spans="2:5" x14ac:dyDescent="0.25">
      <c r="C1" s="92"/>
      <c r="D1" s="92"/>
    </row>
    <row r="2" spans="2:5" x14ac:dyDescent="0.25">
      <c r="B2" s="114" t="s">
        <v>36</v>
      </c>
      <c r="C2" s="98" t="s">
        <v>62</v>
      </c>
      <c r="D2" s="98"/>
      <c r="E2" s="7">
        <f ca="1">RegisterBank!E9</f>
        <v>0</v>
      </c>
    </row>
    <row r="3" spans="2:5" x14ac:dyDescent="0.25">
      <c r="B3" s="115"/>
      <c r="C3" s="5"/>
      <c r="D3" s="14" t="s">
        <v>63</v>
      </c>
      <c r="E3" s="9">
        <f ca="1">IF(ControlUnit!D13=0,RegisterBank!E10,InstructionMemory!F12)</f>
        <v>0</v>
      </c>
    </row>
    <row r="4" spans="2:5" x14ac:dyDescent="0.25">
      <c r="B4" s="116"/>
      <c r="C4" s="112" t="s">
        <v>64</v>
      </c>
      <c r="D4" s="112"/>
      <c r="E4" s="11">
        <f ca="1">ControlUnit!D15</f>
        <v>0</v>
      </c>
    </row>
    <row r="5" spans="2:5" x14ac:dyDescent="0.25">
      <c r="C5" s="97"/>
      <c r="D5" s="97"/>
    </row>
    <row r="6" spans="2:5" x14ac:dyDescent="0.25">
      <c r="B6" s="120" t="s">
        <v>37</v>
      </c>
      <c r="C6" s="113" t="s">
        <v>65</v>
      </c>
      <c r="D6" s="113"/>
      <c r="E6" s="7">
        <f ca="1">IF(E7=0,1,0)</f>
        <v>1</v>
      </c>
    </row>
    <row r="7" spans="2:5" x14ac:dyDescent="0.25">
      <c r="B7" s="121"/>
      <c r="C7" s="122" t="s">
        <v>66</v>
      </c>
      <c r="D7" s="122"/>
      <c r="E7" s="11">
        <f ca="1">VLOOKUP(E4,C10:E17,3,FALSE)</f>
        <v>0</v>
      </c>
    </row>
    <row r="8" spans="2:5" x14ac:dyDescent="0.25">
      <c r="C8" s="92"/>
      <c r="D8" s="92"/>
    </row>
    <row r="9" spans="2:5" x14ac:dyDescent="0.25">
      <c r="B9" s="117" t="s">
        <v>82</v>
      </c>
      <c r="C9" s="118"/>
      <c r="D9" s="118"/>
      <c r="E9" s="119"/>
    </row>
    <row r="10" spans="2:5" x14ac:dyDescent="0.25">
      <c r="B10" s="29" t="s">
        <v>8</v>
      </c>
      <c r="C10" s="92">
        <v>0</v>
      </c>
      <c r="D10" s="92"/>
      <c r="E10" s="9">
        <f ca="1">E2+E3</f>
        <v>0</v>
      </c>
    </row>
    <row r="11" spans="2:5" x14ac:dyDescent="0.25">
      <c r="B11" s="29" t="s">
        <v>9</v>
      </c>
      <c r="C11" s="92">
        <v>1</v>
      </c>
      <c r="D11" s="92"/>
      <c r="E11" s="9">
        <f ca="1">E2-E3</f>
        <v>0</v>
      </c>
    </row>
    <row r="12" spans="2:5" x14ac:dyDescent="0.25">
      <c r="B12" s="29" t="s">
        <v>10</v>
      </c>
      <c r="C12" s="92">
        <v>2</v>
      </c>
      <c r="D12" s="92"/>
      <c r="E12" s="9">
        <f ca="1">E2*E3</f>
        <v>0</v>
      </c>
    </row>
    <row r="13" spans="2:5" x14ac:dyDescent="0.25">
      <c r="B13" s="29" t="s">
        <v>11</v>
      </c>
      <c r="C13" s="92">
        <v>3</v>
      </c>
      <c r="D13" s="92"/>
      <c r="E13" s="9" t="e">
        <f ca="1">E2/E3</f>
        <v>#DIV/0!</v>
      </c>
    </row>
    <row r="14" spans="2:5" x14ac:dyDescent="0.25">
      <c r="B14" s="29" t="s">
        <v>25</v>
      </c>
      <c r="C14" s="92">
        <v>4</v>
      </c>
      <c r="D14" s="92"/>
      <c r="E14" s="9" t="e">
        <f ca="1">MOD(E2,E3)</f>
        <v>#DIV/0!</v>
      </c>
    </row>
    <row r="15" spans="2:5" x14ac:dyDescent="0.25">
      <c r="B15" s="29" t="s">
        <v>12</v>
      </c>
      <c r="C15" s="92">
        <v>5</v>
      </c>
      <c r="D15" s="92"/>
      <c r="E15" s="9">
        <f ca="1">_xlfn.BITAND(E2,E3)</f>
        <v>0</v>
      </c>
    </row>
    <row r="16" spans="2:5" x14ac:dyDescent="0.25">
      <c r="B16" s="29" t="s">
        <v>13</v>
      </c>
      <c r="C16" s="92">
        <v>6</v>
      </c>
      <c r="D16" s="92"/>
      <c r="E16" s="9">
        <f ca="1">_xlfn.BITOR(E2,E3)</f>
        <v>0</v>
      </c>
    </row>
    <row r="17" spans="2:5" x14ac:dyDescent="0.25">
      <c r="B17" s="30" t="s">
        <v>14</v>
      </c>
      <c r="C17" s="102">
        <v>7</v>
      </c>
      <c r="D17" s="102"/>
      <c r="E17" s="11">
        <f ca="1">IF(E2&lt;E3,1,0)</f>
        <v>0</v>
      </c>
    </row>
  </sheetData>
  <mergeCells count="18">
    <mergeCell ref="B2:B4"/>
    <mergeCell ref="C14:D14"/>
    <mergeCell ref="C15:D15"/>
    <mergeCell ref="C16:D16"/>
    <mergeCell ref="C17:D17"/>
    <mergeCell ref="B9:E9"/>
    <mergeCell ref="B6:B7"/>
    <mergeCell ref="C7:D7"/>
    <mergeCell ref="C8:D8"/>
    <mergeCell ref="C10:D10"/>
    <mergeCell ref="C11:D11"/>
    <mergeCell ref="C12:D12"/>
    <mergeCell ref="C13:D13"/>
    <mergeCell ref="C1:D1"/>
    <mergeCell ref="C2:D2"/>
    <mergeCell ref="C4:D4"/>
    <mergeCell ref="C5:D5"/>
    <mergeCell ref="C6: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1962-F130-482A-A2F0-5CC58D8B642E}">
  <sheetPr codeName="Hoja6">
    <tabColor theme="9" tint="0.59999389629810485"/>
  </sheetPr>
  <dimension ref="B2:H30"/>
  <sheetViews>
    <sheetView workbookViewId="0">
      <selection activeCell="D11" sqref="D11"/>
    </sheetView>
  </sheetViews>
  <sheetFormatPr baseColWidth="10" defaultRowHeight="15" x14ac:dyDescent="0.25"/>
  <sheetData>
    <row r="2" spans="2:4" x14ac:dyDescent="0.25">
      <c r="B2" s="126" t="s">
        <v>36</v>
      </c>
      <c r="C2" s="31" t="s">
        <v>18</v>
      </c>
      <c r="D2" s="7">
        <f ca="1">InstructionMemory!F6</f>
        <v>0</v>
      </c>
    </row>
    <row r="3" spans="2:4" x14ac:dyDescent="0.25">
      <c r="B3" s="127"/>
      <c r="C3" s="32" t="s">
        <v>67</v>
      </c>
      <c r="D3" s="11">
        <f ca="1">InstructionMemory!F11</f>
        <v>0</v>
      </c>
    </row>
    <row r="4" spans="2:4" x14ac:dyDescent="0.25">
      <c r="C4" s="17"/>
    </row>
    <row r="5" spans="2:4" x14ac:dyDescent="0.25">
      <c r="B5" s="123" t="s">
        <v>37</v>
      </c>
      <c r="C5" s="33" t="s">
        <v>49</v>
      </c>
      <c r="D5" s="7">
        <f ca="1">IF(D2=0,1,0)</f>
        <v>1</v>
      </c>
    </row>
    <row r="6" spans="2:4" x14ac:dyDescent="0.25">
      <c r="B6" s="124"/>
      <c r="C6" s="15" t="s">
        <v>1</v>
      </c>
      <c r="D6" s="9">
        <f ca="1">IF(D2=2,1,0)</f>
        <v>0</v>
      </c>
    </row>
    <row r="7" spans="2:4" x14ac:dyDescent="0.25">
      <c r="B7" s="124"/>
      <c r="C7" s="15" t="s">
        <v>86</v>
      </c>
      <c r="D7" s="9">
        <f ca="1">IF(D2=8,1,0)</f>
        <v>0</v>
      </c>
    </row>
    <row r="8" spans="2:4" x14ac:dyDescent="0.25">
      <c r="B8" s="124"/>
      <c r="C8" s="15" t="s">
        <v>2</v>
      </c>
      <c r="D8" s="9">
        <f ca="1">IF(D2=4,1,0)</f>
        <v>0</v>
      </c>
    </row>
    <row r="9" spans="2:4" x14ac:dyDescent="0.25">
      <c r="B9" s="124"/>
      <c r="C9" s="15" t="s">
        <v>50</v>
      </c>
      <c r="D9" s="9">
        <f ca="1">IF(D2=35,1,0)</f>
        <v>0</v>
      </c>
    </row>
    <row r="10" spans="2:4" x14ac:dyDescent="0.25">
      <c r="B10" s="124"/>
      <c r="C10" s="15" t="s">
        <v>51</v>
      </c>
      <c r="D10" s="9">
        <f ca="1">D9</f>
        <v>0</v>
      </c>
    </row>
    <row r="11" spans="2:4" x14ac:dyDescent="0.25">
      <c r="B11" s="124"/>
      <c r="C11" s="15" t="s">
        <v>52</v>
      </c>
      <c r="D11" s="9">
        <f ca="1">VLOOKUP(D2,C18:D35,2,FALSE)</f>
        <v>2</v>
      </c>
    </row>
    <row r="12" spans="2:4" x14ac:dyDescent="0.25">
      <c r="B12" s="124"/>
      <c r="C12" s="15" t="s">
        <v>53</v>
      </c>
      <c r="D12" s="9">
        <f ca="1">IF(D2=43,1,0)</f>
        <v>0</v>
      </c>
    </row>
    <row r="13" spans="2:4" x14ac:dyDescent="0.25">
      <c r="B13" s="124"/>
      <c r="C13" s="15" t="s">
        <v>54</v>
      </c>
      <c r="D13" s="9">
        <f ca="1">IF(AND(D2&lt;&gt;0,D2&lt;&gt;4),1,0)</f>
        <v>0</v>
      </c>
    </row>
    <row r="14" spans="2:4" x14ac:dyDescent="0.25">
      <c r="B14" s="124"/>
      <c r="C14" s="15" t="s">
        <v>55</v>
      </c>
      <c r="D14" s="9">
        <f ca="1">IF(COUNTIF(C18:C27,D2)&gt;0,1,0)</f>
        <v>1</v>
      </c>
    </row>
    <row r="15" spans="2:4" x14ac:dyDescent="0.25">
      <c r="B15" s="125"/>
      <c r="C15" s="34" t="s">
        <v>3</v>
      </c>
      <c r="D15" s="11">
        <f ca="1">IF(D11=2,D3,IF(D11=3,D2-16,IF(D11=1,1,0)))</f>
        <v>0</v>
      </c>
    </row>
    <row r="17" spans="3:8" x14ac:dyDescent="0.25">
      <c r="C17" s="128" t="s">
        <v>81</v>
      </c>
      <c r="D17" s="129"/>
    </row>
    <row r="18" spans="3:8" x14ac:dyDescent="0.25">
      <c r="C18" s="22">
        <v>0</v>
      </c>
      <c r="D18" s="23">
        <v>2</v>
      </c>
    </row>
    <row r="19" spans="3:8" x14ac:dyDescent="0.25">
      <c r="C19" s="24">
        <v>16</v>
      </c>
      <c r="D19" s="25">
        <v>3</v>
      </c>
      <c r="E19" s="2"/>
      <c r="F19" s="2"/>
      <c r="G19" s="2"/>
      <c r="H19" s="2"/>
    </row>
    <row r="20" spans="3:8" x14ac:dyDescent="0.25">
      <c r="C20" s="24">
        <v>17</v>
      </c>
      <c r="D20" s="25">
        <v>3</v>
      </c>
      <c r="E20" s="2"/>
      <c r="F20" s="2"/>
      <c r="G20" s="2"/>
      <c r="H20" s="2"/>
    </row>
    <row r="21" spans="3:8" x14ac:dyDescent="0.25">
      <c r="C21" s="24">
        <v>18</v>
      </c>
      <c r="D21" s="25">
        <v>3</v>
      </c>
      <c r="E21" s="2"/>
      <c r="F21" s="2"/>
      <c r="G21" s="2"/>
      <c r="H21" s="2"/>
    </row>
    <row r="22" spans="3:8" x14ac:dyDescent="0.25">
      <c r="C22" s="24">
        <v>19</v>
      </c>
      <c r="D22" s="25">
        <v>3</v>
      </c>
      <c r="E22" s="2"/>
      <c r="F22" s="2"/>
      <c r="G22" s="2"/>
      <c r="H22" s="2"/>
    </row>
    <row r="23" spans="3:8" x14ac:dyDescent="0.25">
      <c r="C23" s="24">
        <v>20</v>
      </c>
      <c r="D23" s="25">
        <v>3</v>
      </c>
      <c r="E23" s="2"/>
      <c r="F23" s="2"/>
      <c r="G23" s="2"/>
      <c r="H23" s="2"/>
    </row>
    <row r="24" spans="3:8" x14ac:dyDescent="0.25">
      <c r="C24" s="24">
        <v>21</v>
      </c>
      <c r="D24" s="25">
        <v>3</v>
      </c>
      <c r="E24" s="2"/>
      <c r="F24" s="2"/>
      <c r="G24" s="2"/>
      <c r="H24" s="2"/>
    </row>
    <row r="25" spans="3:8" x14ac:dyDescent="0.25">
      <c r="C25" s="24">
        <v>22</v>
      </c>
      <c r="D25" s="25">
        <v>3</v>
      </c>
      <c r="E25" s="2"/>
      <c r="F25" s="2"/>
      <c r="G25" s="2"/>
      <c r="H25" s="2"/>
    </row>
    <row r="26" spans="3:8" x14ac:dyDescent="0.25">
      <c r="C26" s="24">
        <v>23</v>
      </c>
      <c r="D26" s="25">
        <v>3</v>
      </c>
      <c r="E26" s="2"/>
      <c r="F26" s="2"/>
      <c r="G26" s="2"/>
      <c r="H26" s="2"/>
    </row>
    <row r="27" spans="3:8" x14ac:dyDescent="0.25">
      <c r="C27" s="24">
        <v>35</v>
      </c>
      <c r="D27" s="25">
        <v>0</v>
      </c>
    </row>
    <row r="28" spans="3:8" x14ac:dyDescent="0.25">
      <c r="C28" s="24">
        <v>43</v>
      </c>
      <c r="D28" s="25">
        <v>0</v>
      </c>
    </row>
    <row r="29" spans="3:8" x14ac:dyDescent="0.25">
      <c r="C29" s="24">
        <v>4</v>
      </c>
      <c r="D29" s="25">
        <v>1</v>
      </c>
    </row>
    <row r="30" spans="3:8" x14ac:dyDescent="0.25">
      <c r="C30" s="26">
        <v>2</v>
      </c>
      <c r="D30" s="27">
        <v>1</v>
      </c>
    </row>
  </sheetData>
  <mergeCells count="3">
    <mergeCell ref="B5:B15"/>
    <mergeCell ref="B2:B3"/>
    <mergeCell ref="C17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648A-8F4A-4076-BD5B-7486F2E33DBC}">
  <sheetPr codeName="Hoja7">
    <tabColor theme="7" tint="0.59999389629810485"/>
  </sheetPr>
  <dimension ref="B2:G75"/>
  <sheetViews>
    <sheetView workbookViewId="0">
      <selection activeCell="G3" sqref="G3"/>
    </sheetView>
  </sheetViews>
  <sheetFormatPr baseColWidth="10" defaultRowHeight="15" x14ac:dyDescent="0.25"/>
  <sheetData>
    <row r="2" spans="2:7" x14ac:dyDescent="0.25">
      <c r="B2" s="133" t="s">
        <v>68</v>
      </c>
      <c r="C2" s="13" t="s">
        <v>69</v>
      </c>
      <c r="D2" s="7">
        <f ca="1">ALU!E7</f>
        <v>0</v>
      </c>
      <c r="F2" s="3" t="s">
        <v>73</v>
      </c>
      <c r="G2" s="3">
        <v>0</v>
      </c>
    </row>
    <row r="3" spans="2:7" x14ac:dyDescent="0.25">
      <c r="B3" s="134"/>
      <c r="C3" s="14" t="s">
        <v>70</v>
      </c>
      <c r="D3" s="9">
        <f ca="1">RegisterBank!E10</f>
        <v>0</v>
      </c>
    </row>
    <row r="4" spans="2:7" x14ac:dyDescent="0.25">
      <c r="B4" s="134"/>
      <c r="C4" s="15" t="s">
        <v>53</v>
      </c>
      <c r="D4" s="9">
        <f ca="1">ControlUnit!D12</f>
        <v>0</v>
      </c>
    </row>
    <row r="5" spans="2:7" x14ac:dyDescent="0.25">
      <c r="B5" s="134"/>
      <c r="C5" s="15" t="s">
        <v>50</v>
      </c>
      <c r="D5" s="9">
        <f ca="1">ControlUnit!D9</f>
        <v>0</v>
      </c>
    </row>
    <row r="6" spans="2:7" x14ac:dyDescent="0.25">
      <c r="B6" s="135"/>
      <c r="C6" s="16" t="s">
        <v>41</v>
      </c>
      <c r="D6" s="11">
        <f>PC!D12</f>
        <v>0</v>
      </c>
    </row>
    <row r="7" spans="2:7" x14ac:dyDescent="0.25">
      <c r="C7" s="17"/>
    </row>
    <row r="8" spans="2:7" x14ac:dyDescent="0.25">
      <c r="B8" s="28" t="s">
        <v>71</v>
      </c>
      <c r="C8" s="18" t="s">
        <v>72</v>
      </c>
      <c r="D8" s="12">
        <f ca="1">VLOOKUP(D2,C12:D75,2,FALSE)</f>
        <v>5</v>
      </c>
    </row>
    <row r="10" spans="2:7" x14ac:dyDescent="0.25">
      <c r="B10" s="130" t="s">
        <v>80</v>
      </c>
      <c r="C10" s="131"/>
      <c r="D10" s="132"/>
    </row>
    <row r="11" spans="2:7" x14ac:dyDescent="0.25">
      <c r="B11" s="19" t="s">
        <v>74</v>
      </c>
      <c r="C11" s="20" t="s">
        <v>4</v>
      </c>
      <c r="D11" s="21" t="s">
        <v>79</v>
      </c>
    </row>
    <row r="12" spans="2:7" x14ac:dyDescent="0.25">
      <c r="B12" s="8">
        <v>5</v>
      </c>
      <c r="C12">
        <v>0</v>
      </c>
      <c r="D12" s="9">
        <f ca="1">IF($G$2=1,B12,IF(AND($D$4=1,$D$6=0),IF($D$2=C12,$D$3,D12),D12))</f>
        <v>5</v>
      </c>
    </row>
    <row r="13" spans="2:7" x14ac:dyDescent="0.25">
      <c r="B13" s="8">
        <v>0</v>
      </c>
      <c r="C13">
        <v>1</v>
      </c>
      <c r="D13" s="9">
        <f t="shared" ref="D13:D75" ca="1" si="0">IF($G$2=1,B13,IF(AND($D$4=1,$D$6=0),IF($D$2=C13,$D$3,D13),D13))</f>
        <v>120</v>
      </c>
    </row>
    <row r="14" spans="2:7" x14ac:dyDescent="0.25">
      <c r="B14" s="8">
        <v>0</v>
      </c>
      <c r="C14">
        <v>2</v>
      </c>
      <c r="D14" s="9">
        <f t="shared" ca="1" si="0"/>
        <v>0</v>
      </c>
    </row>
    <row r="15" spans="2:7" x14ac:dyDescent="0.25">
      <c r="B15" s="8"/>
      <c r="C15">
        <v>3</v>
      </c>
      <c r="D15" s="9">
        <f t="shared" ca="1" si="0"/>
        <v>0</v>
      </c>
    </row>
    <row r="16" spans="2:7" x14ac:dyDescent="0.25">
      <c r="B16" s="8"/>
      <c r="C16">
        <v>4</v>
      </c>
      <c r="D16" s="9">
        <f t="shared" ca="1" si="0"/>
        <v>0</v>
      </c>
    </row>
    <row r="17" spans="2:4" x14ac:dyDescent="0.25">
      <c r="B17" s="8"/>
      <c r="C17">
        <v>5</v>
      </c>
      <c r="D17" s="9">
        <f t="shared" ca="1" si="0"/>
        <v>0</v>
      </c>
    </row>
    <row r="18" spans="2:4" x14ac:dyDescent="0.25">
      <c r="B18" s="8"/>
      <c r="C18">
        <v>6</v>
      </c>
      <c r="D18" s="9">
        <f t="shared" ca="1" si="0"/>
        <v>0</v>
      </c>
    </row>
    <row r="19" spans="2:4" x14ac:dyDescent="0.25">
      <c r="B19" s="8"/>
      <c r="C19">
        <v>7</v>
      </c>
      <c r="D19" s="9">
        <f t="shared" ca="1" si="0"/>
        <v>0</v>
      </c>
    </row>
    <row r="20" spans="2:4" x14ac:dyDescent="0.25">
      <c r="B20" s="8"/>
      <c r="C20">
        <v>8</v>
      </c>
      <c r="D20" s="9">
        <f t="shared" ca="1" si="0"/>
        <v>0</v>
      </c>
    </row>
    <row r="21" spans="2:4" x14ac:dyDescent="0.25">
      <c r="B21" s="8"/>
      <c r="C21">
        <v>9</v>
      </c>
      <c r="D21" s="9">
        <f t="shared" ca="1" si="0"/>
        <v>0</v>
      </c>
    </row>
    <row r="22" spans="2:4" x14ac:dyDescent="0.25">
      <c r="B22" s="8"/>
      <c r="C22">
        <v>10</v>
      </c>
      <c r="D22" s="9">
        <f t="shared" ca="1" si="0"/>
        <v>0</v>
      </c>
    </row>
    <row r="23" spans="2:4" x14ac:dyDescent="0.25">
      <c r="B23" s="8"/>
      <c r="C23">
        <v>11</v>
      </c>
      <c r="D23" s="9">
        <f t="shared" ca="1" si="0"/>
        <v>0</v>
      </c>
    </row>
    <row r="24" spans="2:4" x14ac:dyDescent="0.25">
      <c r="B24" s="8"/>
      <c r="C24">
        <v>12</v>
      </c>
      <c r="D24" s="9">
        <f t="shared" ca="1" si="0"/>
        <v>0</v>
      </c>
    </row>
    <row r="25" spans="2:4" x14ac:dyDescent="0.25">
      <c r="B25" s="8"/>
      <c r="C25">
        <v>13</v>
      </c>
      <c r="D25" s="9">
        <f t="shared" ca="1" si="0"/>
        <v>0</v>
      </c>
    </row>
    <row r="26" spans="2:4" x14ac:dyDescent="0.25">
      <c r="B26" s="8"/>
      <c r="C26">
        <v>14</v>
      </c>
      <c r="D26" s="9">
        <f t="shared" ca="1" si="0"/>
        <v>0</v>
      </c>
    </row>
    <row r="27" spans="2:4" x14ac:dyDescent="0.25">
      <c r="B27" s="8"/>
      <c r="C27">
        <v>15</v>
      </c>
      <c r="D27" s="9">
        <f t="shared" ca="1" si="0"/>
        <v>0</v>
      </c>
    </row>
    <row r="28" spans="2:4" x14ac:dyDescent="0.25">
      <c r="B28" s="8"/>
      <c r="C28">
        <v>16</v>
      </c>
      <c r="D28" s="9">
        <f t="shared" ca="1" si="0"/>
        <v>0</v>
      </c>
    </row>
    <row r="29" spans="2:4" x14ac:dyDescent="0.25">
      <c r="B29" s="8"/>
      <c r="C29">
        <v>17</v>
      </c>
      <c r="D29" s="9">
        <f t="shared" ca="1" si="0"/>
        <v>0</v>
      </c>
    </row>
    <row r="30" spans="2:4" x14ac:dyDescent="0.25">
      <c r="B30" s="8"/>
      <c r="C30">
        <v>18</v>
      </c>
      <c r="D30" s="9">
        <f t="shared" ca="1" si="0"/>
        <v>0</v>
      </c>
    </row>
    <row r="31" spans="2:4" x14ac:dyDescent="0.25">
      <c r="B31" s="8"/>
      <c r="C31">
        <v>19</v>
      </c>
      <c r="D31" s="9">
        <f t="shared" ca="1" si="0"/>
        <v>0</v>
      </c>
    </row>
    <row r="32" spans="2:4" x14ac:dyDescent="0.25">
      <c r="B32" s="8"/>
      <c r="C32">
        <v>20</v>
      </c>
      <c r="D32" s="9">
        <f t="shared" ca="1" si="0"/>
        <v>0</v>
      </c>
    </row>
    <row r="33" spans="2:4" x14ac:dyDescent="0.25">
      <c r="B33" s="8"/>
      <c r="C33">
        <v>21</v>
      </c>
      <c r="D33" s="9">
        <f t="shared" ca="1" si="0"/>
        <v>0</v>
      </c>
    </row>
    <row r="34" spans="2:4" x14ac:dyDescent="0.25">
      <c r="B34" s="8"/>
      <c r="C34">
        <v>22</v>
      </c>
      <c r="D34" s="9">
        <f t="shared" ca="1" si="0"/>
        <v>0</v>
      </c>
    </row>
    <row r="35" spans="2:4" x14ac:dyDescent="0.25">
      <c r="B35" s="8"/>
      <c r="C35">
        <v>23</v>
      </c>
      <c r="D35" s="9">
        <f t="shared" ca="1" si="0"/>
        <v>0</v>
      </c>
    </row>
    <row r="36" spans="2:4" x14ac:dyDescent="0.25">
      <c r="B36" s="8"/>
      <c r="C36">
        <v>24</v>
      </c>
      <c r="D36" s="9">
        <f t="shared" ca="1" si="0"/>
        <v>0</v>
      </c>
    </row>
    <row r="37" spans="2:4" x14ac:dyDescent="0.25">
      <c r="B37" s="8"/>
      <c r="C37">
        <v>25</v>
      </c>
      <c r="D37" s="9">
        <f t="shared" ca="1" si="0"/>
        <v>0</v>
      </c>
    </row>
    <row r="38" spans="2:4" x14ac:dyDescent="0.25">
      <c r="B38" s="8"/>
      <c r="C38">
        <v>26</v>
      </c>
      <c r="D38" s="9">
        <f t="shared" ca="1" si="0"/>
        <v>0</v>
      </c>
    </row>
    <row r="39" spans="2:4" x14ac:dyDescent="0.25">
      <c r="B39" s="8"/>
      <c r="C39">
        <v>27</v>
      </c>
      <c r="D39" s="9">
        <f t="shared" ca="1" si="0"/>
        <v>0</v>
      </c>
    </row>
    <row r="40" spans="2:4" x14ac:dyDescent="0.25">
      <c r="B40" s="8"/>
      <c r="C40">
        <v>28</v>
      </c>
      <c r="D40" s="9">
        <f t="shared" ca="1" si="0"/>
        <v>0</v>
      </c>
    </row>
    <row r="41" spans="2:4" x14ac:dyDescent="0.25">
      <c r="B41" s="8"/>
      <c r="C41">
        <v>29</v>
      </c>
      <c r="D41" s="9">
        <f t="shared" ca="1" si="0"/>
        <v>0</v>
      </c>
    </row>
    <row r="42" spans="2:4" x14ac:dyDescent="0.25">
      <c r="B42" s="8"/>
      <c r="C42">
        <v>30</v>
      </c>
      <c r="D42" s="9">
        <f t="shared" ca="1" si="0"/>
        <v>0</v>
      </c>
    </row>
    <row r="43" spans="2:4" x14ac:dyDescent="0.25">
      <c r="B43" s="8"/>
      <c r="C43">
        <v>31</v>
      </c>
      <c r="D43" s="9">
        <f t="shared" ca="1" si="0"/>
        <v>0</v>
      </c>
    </row>
    <row r="44" spans="2:4" x14ac:dyDescent="0.25">
      <c r="B44" s="8"/>
      <c r="C44">
        <v>32</v>
      </c>
      <c r="D44" s="9">
        <f t="shared" ca="1" si="0"/>
        <v>0</v>
      </c>
    </row>
    <row r="45" spans="2:4" x14ac:dyDescent="0.25">
      <c r="B45" s="8"/>
      <c r="C45">
        <v>33</v>
      </c>
      <c r="D45" s="9">
        <f t="shared" ca="1" si="0"/>
        <v>0</v>
      </c>
    </row>
    <row r="46" spans="2:4" x14ac:dyDescent="0.25">
      <c r="B46" s="8"/>
      <c r="C46">
        <v>34</v>
      </c>
      <c r="D46" s="9">
        <f t="shared" ca="1" si="0"/>
        <v>0</v>
      </c>
    </row>
    <row r="47" spans="2:4" x14ac:dyDescent="0.25">
      <c r="B47" s="8"/>
      <c r="C47">
        <v>35</v>
      </c>
      <c r="D47" s="9">
        <f t="shared" ca="1" si="0"/>
        <v>0</v>
      </c>
    </row>
    <row r="48" spans="2:4" x14ac:dyDescent="0.25">
      <c r="B48" s="8"/>
      <c r="C48">
        <v>36</v>
      </c>
      <c r="D48" s="9">
        <f t="shared" ca="1" si="0"/>
        <v>0</v>
      </c>
    </row>
    <row r="49" spans="2:4" x14ac:dyDescent="0.25">
      <c r="B49" s="8"/>
      <c r="C49">
        <v>37</v>
      </c>
      <c r="D49" s="9">
        <f t="shared" ca="1" si="0"/>
        <v>0</v>
      </c>
    </row>
    <row r="50" spans="2:4" x14ac:dyDescent="0.25">
      <c r="B50" s="8"/>
      <c r="C50">
        <v>38</v>
      </c>
      <c r="D50" s="9">
        <f t="shared" ca="1" si="0"/>
        <v>0</v>
      </c>
    </row>
    <row r="51" spans="2:4" x14ac:dyDescent="0.25">
      <c r="B51" s="8"/>
      <c r="C51">
        <v>39</v>
      </c>
      <c r="D51" s="9">
        <f t="shared" ca="1" si="0"/>
        <v>0</v>
      </c>
    </row>
    <row r="52" spans="2:4" x14ac:dyDescent="0.25">
      <c r="B52" s="8"/>
      <c r="C52">
        <v>40</v>
      </c>
      <c r="D52" s="9">
        <f t="shared" ca="1" si="0"/>
        <v>0</v>
      </c>
    </row>
    <row r="53" spans="2:4" x14ac:dyDescent="0.25">
      <c r="B53" s="8"/>
      <c r="C53">
        <v>41</v>
      </c>
      <c r="D53" s="9">
        <f t="shared" ca="1" si="0"/>
        <v>0</v>
      </c>
    </row>
    <row r="54" spans="2:4" x14ac:dyDescent="0.25">
      <c r="B54" s="8"/>
      <c r="C54">
        <v>42</v>
      </c>
      <c r="D54" s="9">
        <f t="shared" ca="1" si="0"/>
        <v>0</v>
      </c>
    </row>
    <row r="55" spans="2:4" x14ac:dyDescent="0.25">
      <c r="B55" s="8"/>
      <c r="C55">
        <v>43</v>
      </c>
      <c r="D55" s="9">
        <f t="shared" ca="1" si="0"/>
        <v>0</v>
      </c>
    </row>
    <row r="56" spans="2:4" x14ac:dyDescent="0.25">
      <c r="B56" s="8"/>
      <c r="C56">
        <v>44</v>
      </c>
      <c r="D56" s="9">
        <f t="shared" ca="1" si="0"/>
        <v>0</v>
      </c>
    </row>
    <row r="57" spans="2:4" x14ac:dyDescent="0.25">
      <c r="B57" s="8"/>
      <c r="C57">
        <v>45</v>
      </c>
      <c r="D57" s="9">
        <f t="shared" ca="1" si="0"/>
        <v>0</v>
      </c>
    </row>
    <row r="58" spans="2:4" x14ac:dyDescent="0.25">
      <c r="B58" s="8"/>
      <c r="C58">
        <v>46</v>
      </c>
      <c r="D58" s="9">
        <f t="shared" ca="1" si="0"/>
        <v>0</v>
      </c>
    </row>
    <row r="59" spans="2:4" x14ac:dyDescent="0.25">
      <c r="B59" s="8"/>
      <c r="C59">
        <v>47</v>
      </c>
      <c r="D59" s="9">
        <f t="shared" ca="1" si="0"/>
        <v>0</v>
      </c>
    </row>
    <row r="60" spans="2:4" x14ac:dyDescent="0.25">
      <c r="B60" s="8"/>
      <c r="C60">
        <v>48</v>
      </c>
      <c r="D60" s="9">
        <f t="shared" ca="1" si="0"/>
        <v>0</v>
      </c>
    </row>
    <row r="61" spans="2:4" x14ac:dyDescent="0.25">
      <c r="B61" s="8"/>
      <c r="C61">
        <v>49</v>
      </c>
      <c r="D61" s="9">
        <f t="shared" ca="1" si="0"/>
        <v>0</v>
      </c>
    </row>
    <row r="62" spans="2:4" x14ac:dyDescent="0.25">
      <c r="B62" s="8"/>
      <c r="C62">
        <v>50</v>
      </c>
      <c r="D62" s="9">
        <f t="shared" ca="1" si="0"/>
        <v>0</v>
      </c>
    </row>
    <row r="63" spans="2:4" x14ac:dyDescent="0.25">
      <c r="B63" s="8"/>
      <c r="C63">
        <v>51</v>
      </c>
      <c r="D63" s="9">
        <f t="shared" ca="1" si="0"/>
        <v>0</v>
      </c>
    </row>
    <row r="64" spans="2:4" x14ac:dyDescent="0.25">
      <c r="B64" s="8"/>
      <c r="C64">
        <v>52</v>
      </c>
      <c r="D64" s="9">
        <f t="shared" ca="1" si="0"/>
        <v>0</v>
      </c>
    </row>
    <row r="65" spans="2:4" x14ac:dyDescent="0.25">
      <c r="B65" s="8"/>
      <c r="C65">
        <v>53</v>
      </c>
      <c r="D65" s="9">
        <f t="shared" ca="1" si="0"/>
        <v>0</v>
      </c>
    </row>
    <row r="66" spans="2:4" x14ac:dyDescent="0.25">
      <c r="B66" s="8"/>
      <c r="C66">
        <v>54</v>
      </c>
      <c r="D66" s="9">
        <f t="shared" ca="1" si="0"/>
        <v>0</v>
      </c>
    </row>
    <row r="67" spans="2:4" x14ac:dyDescent="0.25">
      <c r="B67" s="8"/>
      <c r="C67">
        <v>55</v>
      </c>
      <c r="D67" s="9">
        <f t="shared" ca="1" si="0"/>
        <v>0</v>
      </c>
    </row>
    <row r="68" spans="2:4" x14ac:dyDescent="0.25">
      <c r="B68" s="8"/>
      <c r="C68">
        <v>56</v>
      </c>
      <c r="D68" s="9">
        <f t="shared" ca="1" si="0"/>
        <v>0</v>
      </c>
    </row>
    <row r="69" spans="2:4" x14ac:dyDescent="0.25">
      <c r="B69" s="8"/>
      <c r="C69">
        <v>57</v>
      </c>
      <c r="D69" s="9">
        <f t="shared" ca="1" si="0"/>
        <v>0</v>
      </c>
    </row>
    <row r="70" spans="2:4" x14ac:dyDescent="0.25">
      <c r="B70" s="8"/>
      <c r="C70">
        <v>58</v>
      </c>
      <c r="D70" s="9">
        <f t="shared" ca="1" si="0"/>
        <v>0</v>
      </c>
    </row>
    <row r="71" spans="2:4" x14ac:dyDescent="0.25">
      <c r="B71" s="8"/>
      <c r="C71">
        <v>59</v>
      </c>
      <c r="D71" s="9">
        <f t="shared" ca="1" si="0"/>
        <v>0</v>
      </c>
    </row>
    <row r="72" spans="2:4" x14ac:dyDescent="0.25">
      <c r="B72" s="8"/>
      <c r="C72">
        <v>60</v>
      </c>
      <c r="D72" s="9">
        <f t="shared" ca="1" si="0"/>
        <v>0</v>
      </c>
    </row>
    <row r="73" spans="2:4" x14ac:dyDescent="0.25">
      <c r="B73" s="8"/>
      <c r="C73">
        <v>61</v>
      </c>
      <c r="D73" s="9">
        <f t="shared" ca="1" si="0"/>
        <v>0</v>
      </c>
    </row>
    <row r="74" spans="2:4" x14ac:dyDescent="0.25">
      <c r="B74" s="8"/>
      <c r="C74">
        <v>62</v>
      </c>
      <c r="D74" s="9">
        <f t="shared" ca="1" si="0"/>
        <v>0</v>
      </c>
    </row>
    <row r="75" spans="2:4" x14ac:dyDescent="0.25">
      <c r="B75" s="10"/>
      <c r="C75" s="6">
        <v>63</v>
      </c>
      <c r="D75" s="9">
        <f t="shared" ca="1" si="0"/>
        <v>0</v>
      </c>
    </row>
  </sheetData>
  <mergeCells count="2">
    <mergeCell ref="B10:D10"/>
    <mergeCell ref="B2:B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Docs</vt:lpstr>
      <vt:lpstr>PC</vt:lpstr>
      <vt:lpstr>InstructionMemory</vt:lpstr>
      <vt:lpstr>RegisterBank</vt:lpstr>
      <vt:lpstr>ALU</vt:lpstr>
      <vt:lpstr>ControlUnit</vt:lpstr>
      <vt:lpstr>DataMemory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pabloqb 2000</dc:creator>
  <cp:lastModifiedBy>pabloqb 2000</cp:lastModifiedBy>
  <dcterms:created xsi:type="dcterms:W3CDTF">2015-06-05T18:19:34Z</dcterms:created>
  <dcterms:modified xsi:type="dcterms:W3CDTF">2024-05-03T17:02:34Z</dcterms:modified>
</cp:coreProperties>
</file>